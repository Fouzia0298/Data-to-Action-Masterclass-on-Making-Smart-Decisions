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defaultThemeVersion="202300"/>
  <mc:AlternateContent xmlns:mc="http://schemas.openxmlformats.org/markup-compatibility/2006">
    <mc:Choice Requires="x15">
      <x15ac:absPath xmlns:x15ac="http://schemas.microsoft.com/office/spreadsheetml/2010/11/ac" url="D:\Excelerate\excelerate masterclass\Capstone Project\"/>
    </mc:Choice>
  </mc:AlternateContent>
  <xr:revisionPtr revIDLastSave="0" documentId="13_ncr:1_{1D29D3B9-A8B5-4526-970E-242550EE42A7}" xr6:coauthVersionLast="47" xr6:coauthVersionMax="47" xr10:uidLastSave="{00000000-0000-0000-0000-000000000000}"/>
  <bookViews>
    <workbookView xWindow="1368" yWindow="0" windowWidth="21672" windowHeight="12360" activeTab="2" xr2:uid="{3BE119C0-8CAA-4447-9D22-7BBF90C16BCE}"/>
  </bookViews>
  <sheets>
    <sheet name="Analysis" sheetId="4" r:id="rId1"/>
    <sheet name="RetailX_Sales_Data_Cleaned" sheetId="1" r:id="rId2"/>
    <sheet name="Dashboard" sheetId="2" r:id="rId3"/>
    <sheet name="KPI Calculations" sheetId="5" r:id="rId4"/>
  </sheets>
  <definedNames>
    <definedName name="Slicer_Category">#N/A</definedName>
    <definedName name="Slicer_Region">#N/A</definedName>
  </definedNames>
  <calcPr calcId="191029"/>
  <pivotCaches>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5" l="1"/>
  <c r="E21" i="5"/>
  <c r="E22" i="5"/>
  <c r="E23" i="5"/>
  <c r="E24" i="5"/>
  <c r="D21" i="5"/>
  <c r="D22" i="5"/>
  <c r="D23" i="5"/>
  <c r="D24" i="5"/>
  <c r="D20" i="5"/>
  <c r="G22" i="5" s="1"/>
  <c r="C7" i="5"/>
  <c r="I8" i="5"/>
  <c r="I12" i="5"/>
  <c r="G20" i="5" l="1"/>
</calcChain>
</file>

<file path=xl/sharedStrings.xml><?xml version="1.0" encoding="utf-8"?>
<sst xmlns="http://schemas.openxmlformats.org/spreadsheetml/2006/main" count="307" uniqueCount="44">
  <si>
    <t>Date</t>
  </si>
  <si>
    <t>Store ID</t>
  </si>
  <si>
    <t>Product</t>
  </si>
  <si>
    <t>Category</t>
  </si>
  <si>
    <t>Units Sold</t>
  </si>
  <si>
    <t>Unit Price</t>
  </si>
  <si>
    <t>Revenue</t>
  </si>
  <si>
    <t>Region</t>
  </si>
  <si>
    <t>Payment Type</t>
  </si>
  <si>
    <t>Return (Y/N)</t>
  </si>
  <si>
    <t>T-Shirt</t>
  </si>
  <si>
    <t>Apparel</t>
  </si>
  <si>
    <t>East Zone</t>
  </si>
  <si>
    <t>Debit Card</t>
  </si>
  <si>
    <t>N</t>
  </si>
  <si>
    <t>Earphones</t>
  </si>
  <si>
    <t>Electronics</t>
  </si>
  <si>
    <t>North Zone</t>
  </si>
  <si>
    <t>Upi</t>
  </si>
  <si>
    <t>South Zone</t>
  </si>
  <si>
    <t>Credit Card</t>
  </si>
  <si>
    <t>Resistance Band</t>
  </si>
  <si>
    <t>Fitness</t>
  </si>
  <si>
    <t>West Zone</t>
  </si>
  <si>
    <t>Cash</t>
  </si>
  <si>
    <t>Smartwatch</t>
  </si>
  <si>
    <t>Y</t>
  </si>
  <si>
    <t>Yoga Mat</t>
  </si>
  <si>
    <t>Water Bottle</t>
  </si>
  <si>
    <t>Sneakers</t>
  </si>
  <si>
    <t>Bluetooth Speaker</t>
  </si>
  <si>
    <t>Total Revenue</t>
  </si>
  <si>
    <t>Average Revenue per Transaction:</t>
  </si>
  <si>
    <t>Overall Return Rate:</t>
  </si>
  <si>
    <t>Count of Return (Y/N)</t>
  </si>
  <si>
    <t>Row Labels</t>
  </si>
  <si>
    <t>Grand Total</t>
  </si>
  <si>
    <t>Sum of Revenue</t>
  </si>
  <si>
    <t>Revenue Contribution</t>
  </si>
  <si>
    <t>Top Contributor</t>
  </si>
  <si>
    <t>Column Labels</t>
  </si>
  <si>
    <t>Sum of Units Sold</t>
  </si>
  <si>
    <t>Revenue by Region</t>
  </si>
  <si>
    <t>Revenue by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</si>
</sst>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quot;$&quot;#,##0.00"/>
    <numFmt numFmtId="166" formatCode="#,###%"/>
    <numFmt numFmtId="167" formatCode="yyyy\-mm\-dd;@"/>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theme="1"/>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0"/>
        <bgColor indexed="64"/>
      </patternFill>
    </fill>
    <fill>
      <patternFill patternType="solid">
        <fgColor theme="4" tint="0.7999816888943144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14" fontId="0" fillId="0" borderId="0" xfId="0" applyNumberFormat="1"/>
    <xf numFmtId="164" fontId="0" fillId="0" borderId="11" xfId="0" applyNumberFormat="1" applyBorder="1"/>
    <xf numFmtId="0" fontId="18" fillId="33" borderId="10" xfId="0" applyFont="1" applyFill="1" applyBorder="1"/>
    <xf numFmtId="0" fontId="0" fillId="33" borderId="0" xfId="0" applyFill="1"/>
    <xf numFmtId="165" fontId="0" fillId="0" borderId="0" xfId="0" applyNumberFormat="1"/>
    <xf numFmtId="0" fontId="16" fillId="0" borderId="0" xfId="0" applyFont="1"/>
    <xf numFmtId="0" fontId="0" fillId="0" borderId="0" xfId="0" pivotButton="1"/>
    <xf numFmtId="0" fontId="16" fillId="33" borderId="0" xfId="0" applyFont="1" applyFill="1"/>
    <xf numFmtId="166" fontId="16" fillId="0" borderId="0" xfId="0" applyNumberFormat="1" applyFont="1"/>
    <xf numFmtId="0" fontId="0" fillId="0" borderId="0" xfId="0" applyAlignment="1">
      <alignment horizontal="left"/>
    </xf>
    <xf numFmtId="164" fontId="0" fillId="0" borderId="0" xfId="0" applyNumberFormat="1"/>
    <xf numFmtId="10" fontId="0" fillId="0" borderId="0" xfId="0" applyNumberFormat="1"/>
    <xf numFmtId="0" fontId="16" fillId="34" borderId="0" xfId="0" applyFont="1" applyFill="1"/>
    <xf numFmtId="167" fontId="0" fillId="0" borderId="0" xfId="0" applyNumberFormat="1" applyAlignment="1">
      <alignment horizontal="left"/>
    </xf>
    <xf numFmtId="0" fontId="0" fillId="0" borderId="0" xfId="0" applyNumberFormat="1"/>
    <xf numFmtId="0" fontId="16" fillId="35"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numFmt numFmtId="164" formatCode="&quot;$&quot;#,##0"/>
    </dxf>
    <dxf>
      <numFmt numFmtId="164" formatCode="&quot;$&quot;#,##0"/>
    </dxf>
    <dxf>
      <numFmt numFmtId="164" formatCode="&quot;$&quot;#,##0"/>
    </dxf>
    <dxf>
      <numFmt numFmtId="167" formatCode="yyyy\-mm\-dd;@"/>
    </dxf>
    <dxf>
      <numFmt numFmtId="164" formatCode="&quot;$&quot;#,##0"/>
    </dxf>
    <dxf>
      <numFmt numFmtId="164" formatCode="&quot;$&quot;#,##0"/>
    </dxf>
    <dxf>
      <numFmt numFmtId="164" formatCode="&quot;$&quot;#,##0"/>
    </dxf>
    <dxf>
      <numFmt numFmtId="167" formatCode="yyyy\-mm\-dd;@"/>
    </dxf>
    <dxf>
      <font>
        <sz val="14"/>
        <color theme="1"/>
        <name val="Cambria"/>
        <family val="1"/>
        <scheme val="none"/>
      </font>
      <border>
        <bottom style="thin">
          <color theme="4"/>
        </bottom>
        <vertical/>
        <horizontal/>
      </border>
    </dxf>
    <dxf>
      <font>
        <sz val="14"/>
        <color theme="1"/>
        <name val="Cambria"/>
        <family val="1"/>
        <scheme val="none"/>
      </font>
      <fill>
        <patternFill>
          <bgColor theme="4" tint="0.79998168889431442"/>
        </patternFill>
      </fill>
      <border diagonalUp="0" diagonalDown="0">
        <left/>
        <right/>
        <top/>
        <bottom/>
        <vertical/>
        <horizontal/>
      </border>
    </dxf>
    <dxf>
      <numFmt numFmtId="164" formatCode="&quot;$&quot;#,##0"/>
    </dxf>
    <dxf>
      <numFmt numFmtId="164" formatCode="&quot;$&quot;#,##0"/>
    </dxf>
    <dxf>
      <numFmt numFmtId="164" formatCode="&quot;$&quot;#,##0"/>
    </dxf>
    <dxf>
      <numFmt numFmtId="19" formatCode="m/d/yyyy"/>
    </dxf>
    <dxf>
      <numFmt numFmtId="167" formatCode="yyyy\-mm\-dd;@"/>
    </dxf>
  </dxfs>
  <tableStyles count="1" defaultTableStyle="TableStyleMedium2" defaultPivotStyle="PivotStyleLight16">
    <tableStyle name="SlicerStyleLight1 2" pivot="0" table="0" count="10" xr9:uid="{0D359D27-8F23-4AC9-86F3-487ED8FEDBDF}">
      <tableStyleElement type="wholeTable" dxfId="9"/>
      <tableStyleElement type="headerRow" dxfId="8"/>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[RetailX_Sales_Data_Dashboard.xlsm]Analysis!PivotTable1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829175833419077E-2"/>
          <c:y val="0.10204842754628904"/>
          <c:w val="0.89701078124413047"/>
          <c:h val="0.72286544826332744"/>
        </c:manualLayout>
      </c:layout>
      <c:lineChart>
        <c:grouping val="stacked"/>
        <c:varyColors val="0"/>
        <c:ser>
          <c:idx val="0"/>
          <c:order val="0"/>
          <c:tx>
            <c:strRef>
              <c:f>Analysis!$B$3:$B$4</c:f>
              <c:strCache>
                <c:ptCount val="1"/>
                <c:pt idx="0">
                  <c:v>East Zone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Analysis!$A$5:$A$26</c:f>
              <c:strCache>
                <c:ptCount val="22"/>
                <c:pt idx="0">
                  <c:v>7/1/2024</c:v>
                </c:pt>
                <c:pt idx="1">
                  <c:v>7/2/2024</c:v>
                </c:pt>
                <c:pt idx="2">
                  <c:v>7/3/2024</c:v>
                </c:pt>
                <c:pt idx="3">
                  <c:v>7/4/2024</c:v>
                </c:pt>
                <c:pt idx="4">
                  <c:v>7/5/2024</c:v>
                </c:pt>
                <c:pt idx="5">
                  <c:v>7/6/2024</c:v>
                </c:pt>
                <c:pt idx="6">
                  <c:v>7/7/2024</c:v>
                </c:pt>
                <c:pt idx="7">
                  <c:v>7/8/2024</c:v>
                </c:pt>
                <c:pt idx="8">
                  <c:v>7/9/2024</c:v>
                </c:pt>
                <c:pt idx="9">
                  <c:v>7/10/2024</c:v>
                </c:pt>
                <c:pt idx="10">
                  <c:v>7/11/2024</c:v>
                </c:pt>
                <c:pt idx="11">
                  <c:v>7/12/2024</c:v>
                </c:pt>
                <c:pt idx="12">
                  <c:v>7/13/2024</c:v>
                </c:pt>
                <c:pt idx="13">
                  <c:v>7/14/2024</c:v>
                </c:pt>
                <c:pt idx="14">
                  <c:v>7/17/2024</c:v>
                </c:pt>
                <c:pt idx="15">
                  <c:v>7/18/2024</c:v>
                </c:pt>
                <c:pt idx="16">
                  <c:v>7/19/2024</c:v>
                </c:pt>
                <c:pt idx="17">
                  <c:v>7/20/2024</c:v>
                </c:pt>
                <c:pt idx="18">
                  <c:v>7/21/2024</c:v>
                </c:pt>
                <c:pt idx="19">
                  <c:v>7/22/2024</c:v>
                </c:pt>
                <c:pt idx="20">
                  <c:v>7/24/2024</c:v>
                </c:pt>
                <c:pt idx="21">
                  <c:v>7/25/2024</c:v>
                </c:pt>
              </c:strCache>
            </c:strRef>
          </c:cat>
          <c:val>
            <c:numRef>
              <c:f>Analysis!$B$5:$B$26</c:f>
              <c:numCache>
                <c:formatCode>General</c:formatCode>
                <c:ptCount val="22"/>
                <c:pt idx="0">
                  <c:v>5988</c:v>
                </c:pt>
                <c:pt idx="2">
                  <c:v>3992</c:v>
                </c:pt>
                <c:pt idx="4">
                  <c:v>6293</c:v>
                </c:pt>
                <c:pt idx="5">
                  <c:v>7794</c:v>
                </c:pt>
                <c:pt idx="6">
                  <c:v>3596</c:v>
                </c:pt>
                <c:pt idx="8">
                  <c:v>3588</c:v>
                </c:pt>
                <c:pt idx="10">
                  <c:v>9889</c:v>
                </c:pt>
                <c:pt idx="14">
                  <c:v>34993</c:v>
                </c:pt>
                <c:pt idx="20">
                  <c:v>19996</c:v>
                </c:pt>
                <c:pt idx="21">
                  <c:v>14289</c:v>
                </c:pt>
              </c:numCache>
            </c:numRef>
          </c:val>
          <c:smooth val="0"/>
          <c:extLst>
            <c:ext xmlns:c16="http://schemas.microsoft.com/office/drawing/2014/chart" uri="{C3380CC4-5D6E-409C-BE32-E72D297353CC}">
              <c16:uniqueId val="{00000000-6FC1-4979-8D77-7078E210ED4E}"/>
            </c:ext>
          </c:extLst>
        </c:ser>
        <c:ser>
          <c:idx val="1"/>
          <c:order val="1"/>
          <c:tx>
            <c:strRef>
              <c:f>Analysis!$C$3:$C$4</c:f>
              <c:strCache>
                <c:ptCount val="1"/>
                <c:pt idx="0">
                  <c:v>North Zone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Analysis!$A$5:$A$26</c:f>
              <c:strCache>
                <c:ptCount val="22"/>
                <c:pt idx="0">
                  <c:v>7/1/2024</c:v>
                </c:pt>
                <c:pt idx="1">
                  <c:v>7/2/2024</c:v>
                </c:pt>
                <c:pt idx="2">
                  <c:v>7/3/2024</c:v>
                </c:pt>
                <c:pt idx="3">
                  <c:v>7/4/2024</c:v>
                </c:pt>
                <c:pt idx="4">
                  <c:v>7/5/2024</c:v>
                </c:pt>
                <c:pt idx="5">
                  <c:v>7/6/2024</c:v>
                </c:pt>
                <c:pt idx="6">
                  <c:v>7/7/2024</c:v>
                </c:pt>
                <c:pt idx="7">
                  <c:v>7/8/2024</c:v>
                </c:pt>
                <c:pt idx="8">
                  <c:v>7/9/2024</c:v>
                </c:pt>
                <c:pt idx="9">
                  <c:v>7/10/2024</c:v>
                </c:pt>
                <c:pt idx="10">
                  <c:v>7/11/2024</c:v>
                </c:pt>
                <c:pt idx="11">
                  <c:v>7/12/2024</c:v>
                </c:pt>
                <c:pt idx="12">
                  <c:v>7/13/2024</c:v>
                </c:pt>
                <c:pt idx="13">
                  <c:v>7/14/2024</c:v>
                </c:pt>
                <c:pt idx="14">
                  <c:v>7/17/2024</c:v>
                </c:pt>
                <c:pt idx="15">
                  <c:v>7/18/2024</c:v>
                </c:pt>
                <c:pt idx="16">
                  <c:v>7/19/2024</c:v>
                </c:pt>
                <c:pt idx="17">
                  <c:v>7/20/2024</c:v>
                </c:pt>
                <c:pt idx="18">
                  <c:v>7/21/2024</c:v>
                </c:pt>
                <c:pt idx="19">
                  <c:v>7/22/2024</c:v>
                </c:pt>
                <c:pt idx="20">
                  <c:v>7/24/2024</c:v>
                </c:pt>
                <c:pt idx="21">
                  <c:v>7/25/2024</c:v>
                </c:pt>
              </c:strCache>
            </c:strRef>
          </c:cat>
          <c:val>
            <c:numRef>
              <c:f>Analysis!$C$5:$C$26</c:f>
              <c:numCache>
                <c:formatCode>General</c:formatCode>
                <c:ptCount val="22"/>
                <c:pt idx="1">
                  <c:v>9889</c:v>
                </c:pt>
                <c:pt idx="2">
                  <c:v>64987</c:v>
                </c:pt>
                <c:pt idx="6">
                  <c:v>4186</c:v>
                </c:pt>
                <c:pt idx="11">
                  <c:v>11691</c:v>
                </c:pt>
                <c:pt idx="12">
                  <c:v>3495</c:v>
                </c:pt>
                <c:pt idx="15">
                  <c:v>598</c:v>
                </c:pt>
                <c:pt idx="16">
                  <c:v>46973</c:v>
                </c:pt>
                <c:pt idx="17">
                  <c:v>4186</c:v>
                </c:pt>
                <c:pt idx="18">
                  <c:v>5489</c:v>
                </c:pt>
                <c:pt idx="19">
                  <c:v>19996</c:v>
                </c:pt>
                <c:pt idx="20">
                  <c:v>5588</c:v>
                </c:pt>
                <c:pt idx="21">
                  <c:v>3992</c:v>
                </c:pt>
              </c:numCache>
            </c:numRef>
          </c:val>
          <c:smooth val="0"/>
          <c:extLst>
            <c:ext xmlns:c16="http://schemas.microsoft.com/office/drawing/2014/chart" uri="{C3380CC4-5D6E-409C-BE32-E72D297353CC}">
              <c16:uniqueId val="{00000001-69AA-462B-B328-E7C6F274313E}"/>
            </c:ext>
          </c:extLst>
        </c:ser>
        <c:ser>
          <c:idx val="2"/>
          <c:order val="2"/>
          <c:tx>
            <c:strRef>
              <c:f>Analysis!$D$3:$D$4</c:f>
              <c:strCache>
                <c:ptCount val="1"/>
                <c:pt idx="0">
                  <c:v>South Zone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Analysis!$A$5:$A$26</c:f>
              <c:strCache>
                <c:ptCount val="22"/>
                <c:pt idx="0">
                  <c:v>7/1/2024</c:v>
                </c:pt>
                <c:pt idx="1">
                  <c:v>7/2/2024</c:v>
                </c:pt>
                <c:pt idx="2">
                  <c:v>7/3/2024</c:v>
                </c:pt>
                <c:pt idx="3">
                  <c:v>7/4/2024</c:v>
                </c:pt>
                <c:pt idx="4">
                  <c:v>7/5/2024</c:v>
                </c:pt>
                <c:pt idx="5">
                  <c:v>7/6/2024</c:v>
                </c:pt>
                <c:pt idx="6">
                  <c:v>7/7/2024</c:v>
                </c:pt>
                <c:pt idx="7">
                  <c:v>7/8/2024</c:v>
                </c:pt>
                <c:pt idx="8">
                  <c:v>7/9/2024</c:v>
                </c:pt>
                <c:pt idx="9">
                  <c:v>7/10/2024</c:v>
                </c:pt>
                <c:pt idx="10">
                  <c:v>7/11/2024</c:v>
                </c:pt>
                <c:pt idx="11">
                  <c:v>7/12/2024</c:v>
                </c:pt>
                <c:pt idx="12">
                  <c:v>7/13/2024</c:v>
                </c:pt>
                <c:pt idx="13">
                  <c:v>7/14/2024</c:v>
                </c:pt>
                <c:pt idx="14">
                  <c:v>7/17/2024</c:v>
                </c:pt>
                <c:pt idx="15">
                  <c:v>7/18/2024</c:v>
                </c:pt>
                <c:pt idx="16">
                  <c:v>7/19/2024</c:v>
                </c:pt>
                <c:pt idx="17">
                  <c:v>7/20/2024</c:v>
                </c:pt>
                <c:pt idx="18">
                  <c:v>7/21/2024</c:v>
                </c:pt>
                <c:pt idx="19">
                  <c:v>7/22/2024</c:v>
                </c:pt>
                <c:pt idx="20">
                  <c:v>7/24/2024</c:v>
                </c:pt>
                <c:pt idx="21">
                  <c:v>7/25/2024</c:v>
                </c:pt>
              </c:strCache>
            </c:strRef>
          </c:cat>
          <c:val>
            <c:numRef>
              <c:f>Analysis!$D$5:$D$26</c:f>
              <c:numCache>
                <c:formatCode>General</c:formatCode>
                <c:ptCount val="22"/>
                <c:pt idx="1">
                  <c:v>3596</c:v>
                </c:pt>
                <c:pt idx="3">
                  <c:v>899</c:v>
                </c:pt>
                <c:pt idx="6">
                  <c:v>11485</c:v>
                </c:pt>
                <c:pt idx="8">
                  <c:v>10693</c:v>
                </c:pt>
                <c:pt idx="12">
                  <c:v>7794</c:v>
                </c:pt>
                <c:pt idx="13">
                  <c:v>11687</c:v>
                </c:pt>
                <c:pt idx="15">
                  <c:v>6586</c:v>
                </c:pt>
              </c:numCache>
            </c:numRef>
          </c:val>
          <c:smooth val="0"/>
          <c:extLst>
            <c:ext xmlns:c16="http://schemas.microsoft.com/office/drawing/2014/chart" uri="{C3380CC4-5D6E-409C-BE32-E72D297353CC}">
              <c16:uniqueId val="{00000002-69AA-462B-B328-E7C6F274313E}"/>
            </c:ext>
          </c:extLst>
        </c:ser>
        <c:ser>
          <c:idx val="3"/>
          <c:order val="3"/>
          <c:tx>
            <c:strRef>
              <c:f>Analysis!$E$3:$E$4</c:f>
              <c:strCache>
                <c:ptCount val="1"/>
                <c:pt idx="0">
                  <c:v>West Zone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Analysis!$A$5:$A$26</c:f>
              <c:strCache>
                <c:ptCount val="22"/>
                <c:pt idx="0">
                  <c:v>7/1/2024</c:v>
                </c:pt>
                <c:pt idx="1">
                  <c:v>7/2/2024</c:v>
                </c:pt>
                <c:pt idx="2">
                  <c:v>7/3/2024</c:v>
                </c:pt>
                <c:pt idx="3">
                  <c:v>7/4/2024</c:v>
                </c:pt>
                <c:pt idx="4">
                  <c:v>7/5/2024</c:v>
                </c:pt>
                <c:pt idx="5">
                  <c:v>7/6/2024</c:v>
                </c:pt>
                <c:pt idx="6">
                  <c:v>7/7/2024</c:v>
                </c:pt>
                <c:pt idx="7">
                  <c:v>7/8/2024</c:v>
                </c:pt>
                <c:pt idx="8">
                  <c:v>7/9/2024</c:v>
                </c:pt>
                <c:pt idx="9">
                  <c:v>7/10/2024</c:v>
                </c:pt>
                <c:pt idx="10">
                  <c:v>7/11/2024</c:v>
                </c:pt>
                <c:pt idx="11">
                  <c:v>7/12/2024</c:v>
                </c:pt>
                <c:pt idx="12">
                  <c:v>7/13/2024</c:v>
                </c:pt>
                <c:pt idx="13">
                  <c:v>7/14/2024</c:v>
                </c:pt>
                <c:pt idx="14">
                  <c:v>7/17/2024</c:v>
                </c:pt>
                <c:pt idx="15">
                  <c:v>7/18/2024</c:v>
                </c:pt>
                <c:pt idx="16">
                  <c:v>7/19/2024</c:v>
                </c:pt>
                <c:pt idx="17">
                  <c:v>7/20/2024</c:v>
                </c:pt>
                <c:pt idx="18">
                  <c:v>7/21/2024</c:v>
                </c:pt>
                <c:pt idx="19">
                  <c:v>7/22/2024</c:v>
                </c:pt>
                <c:pt idx="20">
                  <c:v>7/24/2024</c:v>
                </c:pt>
                <c:pt idx="21">
                  <c:v>7/25/2024</c:v>
                </c:pt>
              </c:strCache>
            </c:strRef>
          </c:cat>
          <c:val>
            <c:numRef>
              <c:f>Analysis!$E$5:$E$26</c:f>
              <c:numCache>
                <c:formatCode>General</c:formatCode>
                <c:ptCount val="22"/>
                <c:pt idx="1">
                  <c:v>1996</c:v>
                </c:pt>
                <c:pt idx="2">
                  <c:v>1798</c:v>
                </c:pt>
                <c:pt idx="7">
                  <c:v>7485</c:v>
                </c:pt>
                <c:pt idx="9">
                  <c:v>3493</c:v>
                </c:pt>
                <c:pt idx="10">
                  <c:v>1497</c:v>
                </c:pt>
                <c:pt idx="13">
                  <c:v>6495</c:v>
                </c:pt>
                <c:pt idx="15">
                  <c:v>70874</c:v>
                </c:pt>
                <c:pt idx="17">
                  <c:v>4497</c:v>
                </c:pt>
                <c:pt idx="18">
                  <c:v>18085</c:v>
                </c:pt>
                <c:pt idx="19">
                  <c:v>499</c:v>
                </c:pt>
              </c:numCache>
            </c:numRef>
          </c:val>
          <c:smooth val="0"/>
          <c:extLst>
            <c:ext xmlns:c16="http://schemas.microsoft.com/office/drawing/2014/chart" uri="{C3380CC4-5D6E-409C-BE32-E72D297353CC}">
              <c16:uniqueId val="{00000003-69AA-462B-B328-E7C6F274313E}"/>
            </c:ext>
          </c:extLst>
        </c:ser>
        <c:dLbls>
          <c:showLegendKey val="0"/>
          <c:showVal val="0"/>
          <c:showCatName val="0"/>
          <c:showSerName val="0"/>
          <c:showPercent val="0"/>
          <c:showBubbleSize val="0"/>
        </c:dLbls>
        <c:marker val="1"/>
        <c:smooth val="0"/>
        <c:axId val="1138786895"/>
        <c:axId val="1138791695"/>
      </c:lineChart>
      <c:catAx>
        <c:axId val="1138786895"/>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t" anchorCtr="0"/>
          <a:lstStyle/>
          <a:p>
            <a:pPr>
              <a:defRPr sz="800" b="0" i="0" u="none" strike="noStrike" kern="1200" baseline="0">
                <a:solidFill>
                  <a:schemeClr val="accent1"/>
                </a:solidFill>
                <a:latin typeface="+mn-lt"/>
                <a:ea typeface="+mn-ea"/>
                <a:cs typeface="+mn-cs"/>
              </a:defRPr>
            </a:pPr>
            <a:endParaRPr lang="en-US"/>
          </a:p>
        </c:txPr>
        <c:crossAx val="1138791695"/>
        <c:crosses val="autoZero"/>
        <c:auto val="0"/>
        <c:lblAlgn val="ctr"/>
        <c:lblOffset val="100"/>
        <c:noMultiLvlLbl val="0"/>
      </c:catAx>
      <c:valAx>
        <c:axId val="1138791695"/>
        <c:scaling>
          <c:orientation val="minMax"/>
        </c:scaling>
        <c:delete val="0"/>
        <c:axPos val="l"/>
        <c:numFmt formatCode="#,##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38786895"/>
        <c:crosses val="autoZero"/>
        <c:crossBetween val="between"/>
      </c:valAx>
      <c:spPr>
        <a:noFill/>
        <a:ln>
          <a:noFill/>
        </a:ln>
        <a:effectLst/>
      </c:spPr>
    </c:plotArea>
    <c:legend>
      <c:legendPos val="t"/>
      <c:layout>
        <c:manualLayout>
          <c:xMode val="edge"/>
          <c:yMode val="edge"/>
          <c:x val="0.19023546916622977"/>
          <c:y val="7.9012345679012344E-2"/>
          <c:w val="0.67816672728643013"/>
          <c:h val="8.869243225728464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accen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[RetailX_Sales_Data_Dashboard.xlsm]Analysis!PivotTable4</c:name>
    <c:fmtId val="14"/>
  </c:pivotSource>
  <c:chart>
    <c:autoTitleDeleted val="0"/>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51902887139107"/>
          <c:y val="0.11149914488067431"/>
          <c:w val="0.67545622594451493"/>
          <c:h val="0.75076926738544292"/>
        </c:manualLayout>
      </c:layout>
      <c:barChart>
        <c:barDir val="bar"/>
        <c:grouping val="clustered"/>
        <c:varyColors val="0"/>
        <c:ser>
          <c:idx val="0"/>
          <c:order val="0"/>
          <c:tx>
            <c:strRef>
              <c:f>Analysis!$J$4:$J$5</c:f>
              <c:strCache>
                <c:ptCount val="1"/>
                <c:pt idx="0">
                  <c:v>Apparel</c:v>
                </c:pt>
              </c:strCache>
            </c:strRef>
          </c:tx>
          <c:spPr>
            <a:solidFill>
              <a:schemeClr val="tx2">
                <a:lumMod val="25000"/>
                <a:lumOff val="75000"/>
              </a:schemeClr>
            </a:solidFill>
            <a:ln>
              <a:noFill/>
            </a:ln>
            <a:effectLst/>
          </c:spPr>
          <c:invertIfNegative val="0"/>
          <c:cat>
            <c:strRef>
              <c:f>Analysis!$I$6:$I$9</c:f>
              <c:strCache>
                <c:ptCount val="4"/>
                <c:pt idx="0">
                  <c:v>East Zone</c:v>
                </c:pt>
                <c:pt idx="1">
                  <c:v>North Zone</c:v>
                </c:pt>
                <c:pt idx="2">
                  <c:v>South Zone</c:v>
                </c:pt>
                <c:pt idx="3">
                  <c:v>West Zone</c:v>
                </c:pt>
              </c:strCache>
            </c:strRef>
          </c:cat>
          <c:val>
            <c:numRef>
              <c:f>Analysis!$J$6:$J$9</c:f>
              <c:numCache>
                <c:formatCode>General</c:formatCode>
                <c:ptCount val="4"/>
                <c:pt idx="0">
                  <c:v>12</c:v>
                </c:pt>
                <c:pt idx="1">
                  <c:v>36</c:v>
                </c:pt>
                <c:pt idx="2">
                  <c:v>4</c:v>
                </c:pt>
                <c:pt idx="3">
                  <c:v>4</c:v>
                </c:pt>
              </c:numCache>
            </c:numRef>
          </c:val>
          <c:extLst>
            <c:ext xmlns:c16="http://schemas.microsoft.com/office/drawing/2014/chart" uri="{C3380CC4-5D6E-409C-BE32-E72D297353CC}">
              <c16:uniqueId val="{00000000-7060-4926-9782-E8F183317BBF}"/>
            </c:ext>
          </c:extLst>
        </c:ser>
        <c:ser>
          <c:idx val="1"/>
          <c:order val="1"/>
          <c:tx>
            <c:strRef>
              <c:f>Analysis!$K$4:$K$5</c:f>
              <c:strCache>
                <c:ptCount val="1"/>
                <c:pt idx="0">
                  <c:v>Electronics</c:v>
                </c:pt>
              </c:strCache>
            </c:strRef>
          </c:tx>
          <c:spPr>
            <a:solidFill>
              <a:schemeClr val="accent1">
                <a:lumMod val="60000"/>
                <a:lumOff val="40000"/>
              </a:schemeClr>
            </a:solidFill>
            <a:ln>
              <a:noFill/>
            </a:ln>
            <a:effectLst/>
          </c:spPr>
          <c:invertIfNegative val="0"/>
          <c:cat>
            <c:strRef>
              <c:f>Analysis!$I$6:$I$9</c:f>
              <c:strCache>
                <c:ptCount val="4"/>
                <c:pt idx="0">
                  <c:v>East Zone</c:v>
                </c:pt>
                <c:pt idx="1">
                  <c:v>North Zone</c:v>
                </c:pt>
                <c:pt idx="2">
                  <c:v>South Zone</c:v>
                </c:pt>
                <c:pt idx="3">
                  <c:v>West Zone</c:v>
                </c:pt>
              </c:strCache>
            </c:strRef>
          </c:cat>
          <c:val>
            <c:numRef>
              <c:f>Analysis!$K$6:$K$9</c:f>
              <c:numCache>
                <c:formatCode>General</c:formatCode>
                <c:ptCount val="4"/>
                <c:pt idx="0">
                  <c:v>33</c:v>
                </c:pt>
                <c:pt idx="1">
                  <c:v>43</c:v>
                </c:pt>
                <c:pt idx="2">
                  <c:v>35</c:v>
                </c:pt>
                <c:pt idx="3">
                  <c:v>36</c:v>
                </c:pt>
              </c:numCache>
            </c:numRef>
          </c:val>
          <c:extLst>
            <c:ext xmlns:c16="http://schemas.microsoft.com/office/drawing/2014/chart" uri="{C3380CC4-5D6E-409C-BE32-E72D297353CC}">
              <c16:uniqueId val="{00000001-7060-4926-9782-E8F183317BBF}"/>
            </c:ext>
          </c:extLst>
        </c:ser>
        <c:ser>
          <c:idx val="2"/>
          <c:order val="2"/>
          <c:tx>
            <c:strRef>
              <c:f>Analysis!$L$4:$L$5</c:f>
              <c:strCache>
                <c:ptCount val="1"/>
                <c:pt idx="0">
                  <c:v>Fitness</c:v>
                </c:pt>
              </c:strCache>
            </c:strRef>
          </c:tx>
          <c:spPr>
            <a:solidFill>
              <a:schemeClr val="accent1">
                <a:lumMod val="75000"/>
              </a:schemeClr>
            </a:solidFill>
            <a:ln>
              <a:noFill/>
            </a:ln>
            <a:effectLst/>
          </c:spPr>
          <c:invertIfNegative val="0"/>
          <c:cat>
            <c:strRef>
              <c:f>Analysis!$I$6:$I$9</c:f>
              <c:strCache>
                <c:ptCount val="4"/>
                <c:pt idx="0">
                  <c:v>East Zone</c:v>
                </c:pt>
                <c:pt idx="1">
                  <c:v>North Zone</c:v>
                </c:pt>
                <c:pt idx="2">
                  <c:v>South Zone</c:v>
                </c:pt>
                <c:pt idx="3">
                  <c:v>West Zone</c:v>
                </c:pt>
              </c:strCache>
            </c:strRef>
          </c:cat>
          <c:val>
            <c:numRef>
              <c:f>Analysis!$L$6:$L$9</c:f>
              <c:numCache>
                <c:formatCode>General</c:formatCode>
                <c:ptCount val="4"/>
                <c:pt idx="0">
                  <c:v>37</c:v>
                </c:pt>
                <c:pt idx="1">
                  <c:v>51</c:v>
                </c:pt>
                <c:pt idx="2">
                  <c:v>21</c:v>
                </c:pt>
                <c:pt idx="3">
                  <c:v>41</c:v>
                </c:pt>
              </c:numCache>
            </c:numRef>
          </c:val>
          <c:extLst>
            <c:ext xmlns:c16="http://schemas.microsoft.com/office/drawing/2014/chart" uri="{C3380CC4-5D6E-409C-BE32-E72D297353CC}">
              <c16:uniqueId val="{00000002-7060-4926-9782-E8F183317BBF}"/>
            </c:ext>
          </c:extLst>
        </c:ser>
        <c:dLbls>
          <c:showLegendKey val="0"/>
          <c:showVal val="0"/>
          <c:showCatName val="0"/>
          <c:showSerName val="0"/>
          <c:showPercent val="0"/>
          <c:showBubbleSize val="0"/>
        </c:dLbls>
        <c:gapWidth val="118"/>
        <c:axId val="1647483903"/>
        <c:axId val="1647492063"/>
      </c:barChart>
      <c:catAx>
        <c:axId val="164748390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crossAx val="1647492063"/>
        <c:crosses val="autoZero"/>
        <c:auto val="1"/>
        <c:lblAlgn val="ctr"/>
        <c:lblOffset val="100"/>
        <c:noMultiLvlLbl val="0"/>
      </c:catAx>
      <c:valAx>
        <c:axId val="16474920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crossAx val="1647483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[RetailX_Sales_Data_Dashboard.xlsm]Analysis!PivotTable2</c:name>
    <c:fmtId val="24"/>
  </c:pivotSource>
  <c:chart>
    <c:autoTitleDeleted val="1"/>
    <c:pivotFmts>
      <c:pivotFmt>
        <c:idx val="0"/>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4">
              <a:lumMod val="60000"/>
              <a:lumOff val="40000"/>
            </a:schemeClr>
          </a:solidFill>
          <a:ln w="19050">
            <a:noFill/>
          </a:ln>
          <a:effectLst>
            <a:outerShdw blurRad="50800" dist="38100" dir="5400000" algn="t" rotWithShape="0">
              <a:prstClr val="black">
                <a:alpha val="40000"/>
              </a:prstClr>
            </a:outerShdw>
          </a:effectLst>
        </c:spPr>
      </c:pivotFmt>
      <c:pivotFmt>
        <c:idx val="2"/>
        <c:spPr>
          <a:solidFill>
            <a:schemeClr val="tx2">
              <a:lumMod val="50000"/>
              <a:lumOff val="50000"/>
            </a:schemeClr>
          </a:solidFill>
          <a:ln w="19050">
            <a:noFill/>
          </a:ln>
          <a:effectLst>
            <a:outerShdw blurRad="50800" dist="38100" dir="5400000" algn="t" rotWithShape="0">
              <a:prstClr val="black">
                <a:alpha val="40000"/>
              </a:prstClr>
            </a:outerShdw>
          </a:effectLst>
        </c:spPr>
      </c:pivotFmt>
      <c:pivotFmt>
        <c:idx val="3"/>
        <c:spPr>
          <a:solidFill>
            <a:schemeClr val="accent1">
              <a:lumMod val="40000"/>
              <a:lumOff val="60000"/>
            </a:schemeClr>
          </a:solidFill>
          <a:ln w="19050">
            <a:noFill/>
          </a:ln>
          <a:effectLst>
            <a:outerShdw blurRad="50800" dist="38100" dir="5400000" algn="t" rotWithShape="0">
              <a:prstClr val="black">
                <a:alpha val="40000"/>
              </a:prstClr>
            </a:outerShdw>
          </a:effectLst>
        </c:spPr>
      </c:pivotFmt>
      <c:pivotFmt>
        <c:idx val="4"/>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noFill/>
          </a:ln>
          <a:effectLst>
            <a:outerShdw blurRad="50800" dist="38100" dir="5400000" algn="t" rotWithShape="0">
              <a:prstClr val="black">
                <a:alpha val="40000"/>
              </a:prstClr>
            </a:outerShdw>
          </a:effectLst>
        </c:spPr>
      </c:pivotFmt>
      <c:pivotFmt>
        <c:idx val="6"/>
        <c:spPr>
          <a:solidFill>
            <a:schemeClr val="accent4">
              <a:lumMod val="60000"/>
              <a:lumOff val="40000"/>
            </a:schemeClr>
          </a:solidFill>
          <a:ln w="19050">
            <a:noFill/>
          </a:ln>
          <a:effectLst>
            <a:outerShdw blurRad="50800" dist="38100" dir="5400000" algn="t" rotWithShape="0">
              <a:prstClr val="black">
                <a:alpha val="40000"/>
              </a:prstClr>
            </a:outerShdw>
          </a:effectLst>
        </c:spPr>
      </c:pivotFmt>
      <c:pivotFmt>
        <c:idx val="7"/>
        <c:spPr>
          <a:solidFill>
            <a:schemeClr val="tx2">
              <a:lumMod val="50000"/>
              <a:lumOff val="50000"/>
            </a:schemeClr>
          </a:solidFill>
          <a:ln w="19050">
            <a:noFill/>
          </a:ln>
          <a:effectLst>
            <a:outerShdw blurRad="50800" dist="38100" dir="5400000" algn="t" rotWithShape="0">
              <a:prstClr val="black">
                <a:alpha val="40000"/>
              </a:prstClr>
            </a:outerShdw>
          </a:effectLst>
        </c:spPr>
      </c:pivotFmt>
      <c:pivotFmt>
        <c:idx val="8"/>
        <c:spPr>
          <a:solidFill>
            <a:schemeClr val="accent1">
              <a:lumMod val="40000"/>
              <a:lumOff val="60000"/>
            </a:schemeClr>
          </a:solidFill>
          <a:ln w="19050">
            <a:noFill/>
          </a:ln>
          <a:effectLst>
            <a:outerShdw blurRad="50800" dist="38100" dir="5400000" algn="t" rotWithShape="0">
              <a:prstClr val="black">
                <a:alpha val="40000"/>
              </a:prstClr>
            </a:outerShdw>
          </a:effectLst>
        </c:spPr>
      </c:pivotFmt>
      <c:pivotFmt>
        <c:idx val="9"/>
        <c:spPr>
          <a:solidFill>
            <a:schemeClr val="accent1"/>
          </a:solidFill>
          <a:ln w="19050">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noFill/>
          </a:ln>
          <a:effectLst>
            <a:outerShdw blurRad="50800" dist="38100" dir="5400000" algn="t" rotWithShape="0">
              <a:prstClr val="black">
                <a:alpha val="40000"/>
              </a:prstClr>
            </a:outerShdw>
          </a:effectLst>
        </c:spPr>
      </c:pivotFmt>
      <c:pivotFmt>
        <c:idx val="11"/>
        <c:spPr>
          <a:solidFill>
            <a:schemeClr val="accent4">
              <a:lumMod val="60000"/>
              <a:lumOff val="40000"/>
            </a:schemeClr>
          </a:solidFill>
          <a:ln w="19050">
            <a:noFill/>
          </a:ln>
          <a:effectLst>
            <a:outerShdw blurRad="50800" dist="38100" dir="5400000" algn="t" rotWithShape="0">
              <a:prstClr val="black">
                <a:alpha val="40000"/>
              </a:prstClr>
            </a:outerShdw>
          </a:effectLst>
        </c:spPr>
      </c:pivotFmt>
      <c:pivotFmt>
        <c:idx val="12"/>
        <c:spPr>
          <a:solidFill>
            <a:schemeClr val="tx2">
              <a:lumMod val="50000"/>
              <a:lumOff val="50000"/>
            </a:schemeClr>
          </a:solidFill>
          <a:ln w="19050">
            <a:noFill/>
          </a:ln>
          <a:effectLst>
            <a:outerShdw blurRad="50800" dist="38100" dir="5400000" algn="t" rotWithShape="0">
              <a:prstClr val="black">
                <a:alpha val="40000"/>
              </a:prstClr>
            </a:outerShdw>
          </a:effectLst>
        </c:spPr>
      </c:pivotFmt>
      <c:pivotFmt>
        <c:idx val="13"/>
        <c:spPr>
          <a:solidFill>
            <a:schemeClr val="accent1">
              <a:lumMod val="40000"/>
              <a:lumOff val="60000"/>
            </a:schemeClr>
          </a:solidFill>
          <a:ln w="19050">
            <a:noFill/>
          </a:ln>
          <a:effectLst>
            <a:outerShdw blurRad="50800" dist="38100" dir="5400000" algn="t" rotWithShape="0">
              <a:prstClr val="black">
                <a:alpha val="40000"/>
              </a:prstClr>
            </a:outerShdw>
          </a:effectLst>
        </c:spPr>
      </c:pivotFmt>
    </c:pivotFmts>
    <c:plotArea>
      <c:layout/>
      <c:pieChart>
        <c:varyColors val="1"/>
        <c:ser>
          <c:idx val="0"/>
          <c:order val="0"/>
          <c:tx>
            <c:strRef>
              <c:f>Analysis!$I$15</c:f>
              <c:strCache>
                <c:ptCount val="1"/>
                <c:pt idx="0">
                  <c:v>Total</c:v>
                </c:pt>
              </c:strCache>
            </c:strRef>
          </c:tx>
          <c:spPr>
            <a:ln>
              <a:noFill/>
            </a:ln>
            <a:effectLst>
              <a:outerShdw blurRad="50800" dist="38100" dir="5400000" algn="t" rotWithShape="0">
                <a:prstClr val="black">
                  <a:alpha val="40000"/>
                </a:prstClr>
              </a:outerShdw>
            </a:effectLst>
          </c:spPr>
          <c:dPt>
            <c:idx val="0"/>
            <c:bubble3D val="0"/>
            <c:spPr>
              <a:solidFill>
                <a:schemeClr val="accent1"/>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14B6-48CE-9795-E3DF44B40EA1}"/>
              </c:ext>
            </c:extLst>
          </c:dPt>
          <c:dPt>
            <c:idx val="1"/>
            <c:bubble3D val="0"/>
            <c:spPr>
              <a:solidFill>
                <a:schemeClr val="accent4">
                  <a:lumMod val="60000"/>
                  <a:lumOff val="4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14B6-48CE-9795-E3DF44B40EA1}"/>
              </c:ext>
            </c:extLst>
          </c:dPt>
          <c:dPt>
            <c:idx val="2"/>
            <c:bubble3D val="0"/>
            <c:spPr>
              <a:solidFill>
                <a:schemeClr val="tx2">
                  <a:lumMod val="50000"/>
                  <a:lumOff val="5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14B6-48CE-9795-E3DF44B40EA1}"/>
              </c:ext>
            </c:extLst>
          </c:dPt>
          <c:dPt>
            <c:idx val="3"/>
            <c:bubble3D val="0"/>
            <c:spPr>
              <a:solidFill>
                <a:schemeClr val="accent1">
                  <a:lumMod val="40000"/>
                  <a:lumOff val="6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14B6-48CE-9795-E3DF44B40EA1}"/>
              </c:ext>
            </c:extLst>
          </c:dPt>
          <c:dLbls>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Analysis!$H$16:$H$19</c:f>
              <c:strCache>
                <c:ptCount val="4"/>
                <c:pt idx="0">
                  <c:v>East Zone</c:v>
                </c:pt>
                <c:pt idx="1">
                  <c:v>North Zone</c:v>
                </c:pt>
                <c:pt idx="2">
                  <c:v>South Zone</c:v>
                </c:pt>
                <c:pt idx="3">
                  <c:v>West Zone</c:v>
                </c:pt>
              </c:strCache>
            </c:strRef>
          </c:cat>
          <c:val>
            <c:numRef>
              <c:f>Analysis!$I$16:$I$19</c:f>
              <c:numCache>
                <c:formatCode>"$"#,##0</c:formatCode>
                <c:ptCount val="4"/>
                <c:pt idx="0">
                  <c:v>110418</c:v>
                </c:pt>
                <c:pt idx="1">
                  <c:v>181070</c:v>
                </c:pt>
                <c:pt idx="2">
                  <c:v>52740</c:v>
                </c:pt>
                <c:pt idx="3">
                  <c:v>116719</c:v>
                </c:pt>
              </c:numCache>
            </c:numRef>
          </c:val>
          <c:extLst>
            <c:ext xmlns:c16="http://schemas.microsoft.com/office/drawing/2014/chart" uri="{C3380CC4-5D6E-409C-BE32-E72D297353CC}">
              <c16:uniqueId val="{00000008-14B6-48CE-9795-E3DF44B40EA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[RetailX_Sales_Data_Dashboard.xlsm]Analysis!PivotTable3</c:name>
    <c:fmtId val="34"/>
  </c:pivotSource>
  <c:chart>
    <c:autoTitleDeleted val="1"/>
    <c:pivotFmts>
      <c:pivotFmt>
        <c:idx val="0"/>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4">
              <a:shade val="86000"/>
            </a:schemeClr>
          </a:solidFill>
          <a:ln w="19050">
            <a:solidFill>
              <a:schemeClr val="lt1"/>
            </a:solidFill>
          </a:ln>
          <a:effectLst/>
        </c:spPr>
        <c:dLbl>
          <c:idx val="0"/>
          <c:layout>
            <c:manualLayout>
              <c:x val="4.7222222222222117E-2"/>
              <c:y val="-8.33333333333334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tint val="58000"/>
            </a:schemeClr>
          </a:solidFill>
          <a:ln w="19050">
            <a:solidFill>
              <a:schemeClr val="lt1"/>
            </a:solidFill>
          </a:ln>
          <a:effectLst/>
        </c:spPr>
      </c:pivotFmt>
      <c:pivotFmt>
        <c:idx val="4"/>
        <c:spPr>
          <a:solidFill>
            <a:schemeClr val="accent4">
              <a:tint val="86000"/>
            </a:schemeClr>
          </a:solidFill>
          <a:ln w="19050">
            <a:solidFill>
              <a:schemeClr val="lt1"/>
            </a:solidFill>
          </a:ln>
          <a:effectLst/>
        </c:spPr>
      </c:pivotFmt>
      <c:pivotFmt>
        <c:idx val="5"/>
        <c:spPr>
          <a:solidFill>
            <a:schemeClr val="accent4">
              <a:shade val="86000"/>
            </a:schemeClr>
          </a:solidFill>
          <a:ln w="19050">
            <a:solidFill>
              <a:schemeClr val="lt1"/>
            </a:solidFill>
          </a:ln>
          <a:effectLst/>
        </c:spPr>
        <c:dLbl>
          <c:idx val="0"/>
          <c:layout>
            <c:manualLayout>
              <c:x val="4.7222222222222117E-2"/>
              <c:y val="-8.33333333333334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4">
              <a:shade val="58000"/>
            </a:schemeClr>
          </a:solidFill>
          <a:ln w="19050">
            <a:solidFill>
              <a:schemeClr val="lt1"/>
            </a:solidFill>
          </a:ln>
          <a:effectLst/>
        </c:spPr>
      </c:pivotFmt>
      <c:pivotFmt>
        <c:idx val="7"/>
        <c:spPr>
          <a:solidFill>
            <a:schemeClr val="accent4"/>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tint val="58000"/>
            </a:schemeClr>
          </a:solidFill>
          <a:ln w="19050">
            <a:solidFill>
              <a:schemeClr val="lt1"/>
            </a:solidFill>
          </a:ln>
          <a:effectLst/>
        </c:spPr>
      </c:pivotFmt>
      <c:pivotFmt>
        <c:idx val="9"/>
        <c:spPr>
          <a:solidFill>
            <a:schemeClr val="accent4">
              <a:tint val="86000"/>
            </a:schemeClr>
          </a:solidFill>
          <a:ln w="19050">
            <a:solidFill>
              <a:schemeClr val="lt1"/>
            </a:solidFill>
          </a:ln>
          <a:effectLst/>
        </c:spPr>
      </c:pivotFmt>
      <c:pivotFmt>
        <c:idx val="10"/>
        <c:spPr>
          <a:solidFill>
            <a:schemeClr val="accent4">
              <a:shade val="86000"/>
            </a:schemeClr>
          </a:solidFill>
          <a:ln w="19050">
            <a:solidFill>
              <a:schemeClr val="lt1"/>
            </a:solidFill>
          </a:ln>
          <a:effectLst/>
        </c:spPr>
        <c:dLbl>
          <c:idx val="0"/>
          <c:layout>
            <c:manualLayout>
              <c:x val="4.7222222222222117E-2"/>
              <c:y val="-8.3333333333333412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shade val="58000"/>
            </a:schemeClr>
          </a:solidFill>
          <a:ln w="19050">
            <a:solidFill>
              <a:schemeClr val="lt1"/>
            </a:solidFill>
          </a:ln>
          <a:effectLst/>
        </c:spPr>
      </c:pivotFmt>
    </c:pivotFmts>
    <c:plotArea>
      <c:layout/>
      <c:pieChart>
        <c:varyColors val="1"/>
        <c:ser>
          <c:idx val="0"/>
          <c:order val="0"/>
          <c:tx>
            <c:strRef>
              <c:f>Analysis!$L$14</c:f>
              <c:strCache>
                <c:ptCount val="1"/>
                <c:pt idx="0">
                  <c:v>Total</c:v>
                </c:pt>
              </c:strCache>
            </c:strRef>
          </c:tx>
          <c:dPt>
            <c:idx val="0"/>
            <c:bubble3D val="0"/>
            <c:spPr>
              <a:solidFill>
                <a:schemeClr val="accent4">
                  <a:tint val="58000"/>
                </a:schemeClr>
              </a:solidFill>
              <a:ln w="19050">
                <a:solidFill>
                  <a:schemeClr val="lt1"/>
                </a:solidFill>
              </a:ln>
              <a:effectLst/>
            </c:spPr>
            <c:extLst>
              <c:ext xmlns:c16="http://schemas.microsoft.com/office/drawing/2014/chart" uri="{C3380CC4-5D6E-409C-BE32-E72D297353CC}">
                <c16:uniqueId val="{00000001-3771-4CE2-9B43-7E11373E9ADA}"/>
              </c:ext>
            </c:extLst>
          </c:dPt>
          <c:dPt>
            <c:idx val="1"/>
            <c:bubble3D val="0"/>
            <c:spPr>
              <a:solidFill>
                <a:schemeClr val="accent4">
                  <a:tint val="86000"/>
                </a:schemeClr>
              </a:solidFill>
              <a:ln w="19050">
                <a:solidFill>
                  <a:schemeClr val="lt1"/>
                </a:solidFill>
              </a:ln>
              <a:effectLst/>
            </c:spPr>
            <c:extLst>
              <c:ext xmlns:c16="http://schemas.microsoft.com/office/drawing/2014/chart" uri="{C3380CC4-5D6E-409C-BE32-E72D297353CC}">
                <c16:uniqueId val="{00000003-3771-4CE2-9B43-7E11373E9ADA}"/>
              </c:ext>
            </c:extLst>
          </c:dPt>
          <c:dPt>
            <c:idx val="2"/>
            <c:bubble3D val="0"/>
            <c:spPr>
              <a:solidFill>
                <a:schemeClr val="accent4">
                  <a:shade val="86000"/>
                </a:schemeClr>
              </a:solidFill>
              <a:ln w="19050">
                <a:solidFill>
                  <a:schemeClr val="lt1"/>
                </a:solidFill>
              </a:ln>
              <a:effectLst/>
            </c:spPr>
            <c:extLst>
              <c:ext xmlns:c16="http://schemas.microsoft.com/office/drawing/2014/chart" uri="{C3380CC4-5D6E-409C-BE32-E72D297353CC}">
                <c16:uniqueId val="{00000005-3771-4CE2-9B43-7E11373E9ADA}"/>
              </c:ext>
            </c:extLst>
          </c:dPt>
          <c:dPt>
            <c:idx val="3"/>
            <c:bubble3D val="0"/>
            <c:spPr>
              <a:solidFill>
                <a:schemeClr val="accent4">
                  <a:shade val="58000"/>
                </a:schemeClr>
              </a:solidFill>
              <a:ln w="19050">
                <a:solidFill>
                  <a:schemeClr val="lt1"/>
                </a:solidFill>
              </a:ln>
              <a:effectLst/>
            </c:spPr>
            <c:extLst>
              <c:ext xmlns:c16="http://schemas.microsoft.com/office/drawing/2014/chart" uri="{C3380CC4-5D6E-409C-BE32-E72D297353CC}">
                <c16:uniqueId val="{00000007-3771-4CE2-9B43-7E11373E9ADA}"/>
              </c:ext>
            </c:extLst>
          </c:dPt>
          <c:dLbls>
            <c:dLbl>
              <c:idx val="2"/>
              <c:layout>
                <c:manualLayout>
                  <c:x val="4.7222222222222117E-2"/>
                  <c:y val="-8.333333333333341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3771-4CE2-9B43-7E11373E9ADA}"/>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accent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Analysis!$K$15:$K$18</c:f>
              <c:strCache>
                <c:ptCount val="4"/>
                <c:pt idx="0">
                  <c:v>Cash</c:v>
                </c:pt>
                <c:pt idx="1">
                  <c:v>Credit Card</c:v>
                </c:pt>
                <c:pt idx="2">
                  <c:v>Debit Card</c:v>
                </c:pt>
                <c:pt idx="3">
                  <c:v>Upi</c:v>
                </c:pt>
              </c:strCache>
            </c:strRef>
          </c:cat>
          <c:val>
            <c:numRef>
              <c:f>Analysis!$L$15:$L$18</c:f>
              <c:numCache>
                <c:formatCode>"$"#,##0</c:formatCode>
                <c:ptCount val="4"/>
                <c:pt idx="0">
                  <c:v>47633</c:v>
                </c:pt>
                <c:pt idx="1">
                  <c:v>78217</c:v>
                </c:pt>
                <c:pt idx="2">
                  <c:v>163595</c:v>
                </c:pt>
                <c:pt idx="3">
                  <c:v>171502</c:v>
                </c:pt>
              </c:numCache>
            </c:numRef>
          </c:val>
          <c:extLst>
            <c:ext xmlns:c16="http://schemas.microsoft.com/office/drawing/2014/chart" uri="{C3380CC4-5D6E-409C-BE32-E72D297353CC}">
              <c16:uniqueId val="{00000008-3771-4CE2-9B43-7E11373E9ADA}"/>
            </c:ext>
          </c:extLst>
        </c:ser>
        <c:dLbls>
          <c:dLblPos val="ctr"/>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566057</xdr:colOff>
      <xdr:row>38</xdr:row>
      <xdr:rowOff>52388</xdr:rowOff>
    </xdr:to>
    <xdr:sp macro="" textlink="">
      <xdr:nvSpPr>
        <xdr:cNvPr id="37" name="Rectangle 36">
          <a:extLst>
            <a:ext uri="{FF2B5EF4-FFF2-40B4-BE49-F238E27FC236}">
              <a16:creationId xmlns:a16="http://schemas.microsoft.com/office/drawing/2014/main" id="{35DD6D39-D9C3-3507-5D53-20B1207B1890}"/>
            </a:ext>
          </a:extLst>
        </xdr:cNvPr>
        <xdr:cNvSpPr/>
      </xdr:nvSpPr>
      <xdr:spPr>
        <a:xfrm>
          <a:off x="0" y="0"/>
          <a:ext cx="17796782" cy="6929438"/>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443865</xdr:colOff>
      <xdr:row>1</xdr:row>
      <xdr:rowOff>66675</xdr:rowOff>
    </xdr:from>
    <xdr:to>
      <xdr:col>11</xdr:col>
      <xdr:colOff>306705</xdr:colOff>
      <xdr:row>4</xdr:row>
      <xdr:rowOff>100965</xdr:rowOff>
    </xdr:to>
    <xdr:sp macro="" textlink="">
      <xdr:nvSpPr>
        <xdr:cNvPr id="3" name="Rectangle: Rounded Corners 2">
          <a:extLst>
            <a:ext uri="{FF2B5EF4-FFF2-40B4-BE49-F238E27FC236}">
              <a16:creationId xmlns:a16="http://schemas.microsoft.com/office/drawing/2014/main" id="{5E6937DA-ECE7-9D4C-E4A4-71121AF4C53D}"/>
            </a:ext>
          </a:extLst>
        </xdr:cNvPr>
        <xdr:cNvSpPr/>
      </xdr:nvSpPr>
      <xdr:spPr>
        <a:xfrm>
          <a:off x="443865" y="66675"/>
          <a:ext cx="6882765" cy="577215"/>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478155</xdr:colOff>
      <xdr:row>5</xdr:row>
      <xdr:rowOff>142875</xdr:rowOff>
    </xdr:from>
    <xdr:to>
      <xdr:col>15</xdr:col>
      <xdr:colOff>128588</xdr:colOff>
      <xdr:row>10</xdr:row>
      <xdr:rowOff>157163</xdr:rowOff>
    </xdr:to>
    <xdr:sp macro="" textlink="">
      <xdr:nvSpPr>
        <xdr:cNvPr id="4" name="Rectangle: Rounded Corners 3">
          <a:extLst>
            <a:ext uri="{FF2B5EF4-FFF2-40B4-BE49-F238E27FC236}">
              <a16:creationId xmlns:a16="http://schemas.microsoft.com/office/drawing/2014/main" id="{940D17D5-4A2C-44C2-8ED0-8A03D52F4FF6}"/>
            </a:ext>
          </a:extLst>
        </xdr:cNvPr>
        <xdr:cNvSpPr/>
      </xdr:nvSpPr>
      <xdr:spPr>
        <a:xfrm>
          <a:off x="6859905" y="866775"/>
          <a:ext cx="2841308" cy="919163"/>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148590</xdr:colOff>
      <xdr:row>20</xdr:row>
      <xdr:rowOff>28574</xdr:rowOff>
    </xdr:from>
    <xdr:to>
      <xdr:col>10</xdr:col>
      <xdr:colOff>129329</xdr:colOff>
      <xdr:row>37</xdr:row>
      <xdr:rowOff>54428</xdr:rowOff>
    </xdr:to>
    <xdr:sp macro="" textlink="">
      <xdr:nvSpPr>
        <xdr:cNvPr id="5" name="Rectangle: Rounded Corners 4">
          <a:extLst>
            <a:ext uri="{FF2B5EF4-FFF2-40B4-BE49-F238E27FC236}">
              <a16:creationId xmlns:a16="http://schemas.microsoft.com/office/drawing/2014/main" id="{D8DAD5A7-A02A-40BA-8C17-3E85F7C49732}"/>
            </a:ext>
          </a:extLst>
        </xdr:cNvPr>
        <xdr:cNvSpPr/>
      </xdr:nvSpPr>
      <xdr:spPr>
        <a:xfrm>
          <a:off x="148590" y="3686174"/>
          <a:ext cx="6381539" cy="3134814"/>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470535</xdr:colOff>
      <xdr:row>1</xdr:row>
      <xdr:rowOff>171450</xdr:rowOff>
    </xdr:from>
    <xdr:to>
      <xdr:col>11</xdr:col>
      <xdr:colOff>462915</xdr:colOff>
      <xdr:row>4</xdr:row>
      <xdr:rowOff>81915</xdr:rowOff>
    </xdr:to>
    <xdr:sp macro="" textlink="">
      <xdr:nvSpPr>
        <xdr:cNvPr id="6" name="TextBox 5">
          <a:extLst>
            <a:ext uri="{FF2B5EF4-FFF2-40B4-BE49-F238E27FC236}">
              <a16:creationId xmlns:a16="http://schemas.microsoft.com/office/drawing/2014/main" id="{5DB75FA7-9077-4767-1C4B-399FD14D48DD}"/>
            </a:ext>
          </a:extLst>
        </xdr:cNvPr>
        <xdr:cNvSpPr txBox="1"/>
      </xdr:nvSpPr>
      <xdr:spPr>
        <a:xfrm>
          <a:off x="470535" y="171450"/>
          <a:ext cx="7012305" cy="45339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b="1">
              <a:effectLst/>
              <a:latin typeface="Cambria" panose="02040503050406030204" pitchFamily="18" charset="0"/>
              <a:ea typeface="Cambria" panose="02040503050406030204" pitchFamily="18" charset="0"/>
            </a:rPr>
            <a:t>RetailX Sales &amp; Returns Dashboard: Driving Strategic Decisions</a:t>
          </a:r>
        </a:p>
      </xdr:txBody>
    </xdr:sp>
    <xdr:clientData/>
  </xdr:twoCellAnchor>
  <xdr:twoCellAnchor>
    <xdr:from>
      <xdr:col>15</xdr:col>
      <xdr:colOff>476588</xdr:colOff>
      <xdr:row>5</xdr:row>
      <xdr:rowOff>151449</xdr:rowOff>
    </xdr:from>
    <xdr:to>
      <xdr:col>20</xdr:col>
      <xdr:colOff>78879</xdr:colOff>
      <xdr:row>10</xdr:row>
      <xdr:rowOff>161926</xdr:rowOff>
    </xdr:to>
    <xdr:sp macro="" textlink="">
      <xdr:nvSpPr>
        <xdr:cNvPr id="7" name="Rectangle: Rounded Corners 6">
          <a:extLst>
            <a:ext uri="{FF2B5EF4-FFF2-40B4-BE49-F238E27FC236}">
              <a16:creationId xmlns:a16="http://schemas.microsoft.com/office/drawing/2014/main" id="{FDC2DA0F-C9A5-4ECE-9CC8-6BAF118AEA4C}"/>
            </a:ext>
          </a:extLst>
        </xdr:cNvPr>
        <xdr:cNvSpPr/>
      </xdr:nvSpPr>
      <xdr:spPr>
        <a:xfrm>
          <a:off x="10049213" y="875349"/>
          <a:ext cx="2793166" cy="915352"/>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595314</xdr:colOff>
      <xdr:row>6</xdr:row>
      <xdr:rowOff>952</xdr:rowOff>
    </xdr:from>
    <xdr:to>
      <xdr:col>15</xdr:col>
      <xdr:colOff>110560</xdr:colOff>
      <xdr:row>9</xdr:row>
      <xdr:rowOff>24830</xdr:rowOff>
    </xdr:to>
    <xdr:sp macro="" textlink="">
      <xdr:nvSpPr>
        <xdr:cNvPr id="8" name="TextBox 7">
          <a:extLst>
            <a:ext uri="{FF2B5EF4-FFF2-40B4-BE49-F238E27FC236}">
              <a16:creationId xmlns:a16="http://schemas.microsoft.com/office/drawing/2014/main" id="{49919EC1-1860-DB1C-409D-3341575BB3DC}"/>
            </a:ext>
          </a:extLst>
        </xdr:cNvPr>
        <xdr:cNvSpPr txBox="1"/>
      </xdr:nvSpPr>
      <xdr:spPr>
        <a:xfrm>
          <a:off x="7615239" y="1086802"/>
          <a:ext cx="2067946" cy="566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Total Revenue</a:t>
          </a:r>
        </a:p>
      </xdr:txBody>
    </xdr:sp>
    <xdr:clientData/>
  </xdr:twoCellAnchor>
  <xdr:twoCellAnchor>
    <xdr:from>
      <xdr:col>15</xdr:col>
      <xdr:colOff>251777</xdr:colOff>
      <xdr:row>6</xdr:row>
      <xdr:rowOff>13970</xdr:rowOff>
    </xdr:from>
    <xdr:to>
      <xdr:col>20</xdr:col>
      <xdr:colOff>399340</xdr:colOff>
      <xdr:row>8</xdr:row>
      <xdr:rowOff>74546</xdr:rowOff>
    </xdr:to>
    <xdr:sp macro="" textlink="">
      <xdr:nvSpPr>
        <xdr:cNvPr id="9" name="TextBox 8">
          <a:extLst>
            <a:ext uri="{FF2B5EF4-FFF2-40B4-BE49-F238E27FC236}">
              <a16:creationId xmlns:a16="http://schemas.microsoft.com/office/drawing/2014/main" id="{EBEDFCB5-2117-9E95-FF84-C2E91F84FB58}"/>
            </a:ext>
          </a:extLst>
        </xdr:cNvPr>
        <xdr:cNvSpPr txBox="1"/>
      </xdr:nvSpPr>
      <xdr:spPr>
        <a:xfrm>
          <a:off x="9824402" y="918845"/>
          <a:ext cx="3338438" cy="422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Overall Return Rate</a:t>
          </a:r>
        </a:p>
      </xdr:txBody>
    </xdr:sp>
    <xdr:clientData/>
  </xdr:twoCellAnchor>
  <xdr:twoCellAnchor>
    <xdr:from>
      <xdr:col>11</xdr:col>
      <xdr:colOff>236219</xdr:colOff>
      <xdr:row>7</xdr:row>
      <xdr:rowOff>174942</xdr:rowOff>
    </xdr:from>
    <xdr:to>
      <xdr:col>14</xdr:col>
      <xdr:colOff>595475</xdr:colOff>
      <xdr:row>11</xdr:row>
      <xdr:rowOff>15269</xdr:rowOff>
    </xdr:to>
    <xdr:sp macro="" textlink="'KPI Calculations'!I8">
      <xdr:nvSpPr>
        <xdr:cNvPr id="12" name="TextBox 11">
          <a:extLst>
            <a:ext uri="{FF2B5EF4-FFF2-40B4-BE49-F238E27FC236}">
              <a16:creationId xmlns:a16="http://schemas.microsoft.com/office/drawing/2014/main" id="{FDFDC40D-3EE5-E454-8EDE-E5C5D5CDF402}"/>
            </a:ext>
          </a:extLst>
        </xdr:cNvPr>
        <xdr:cNvSpPr txBox="1"/>
      </xdr:nvSpPr>
      <xdr:spPr>
        <a:xfrm>
          <a:off x="7256144" y="1441767"/>
          <a:ext cx="2273781" cy="564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E64216C1-FFB7-42AB-A05C-88E3E9FF52F2}" type="TxLink">
            <a:rPr lang="en-US" sz="2400" b="1">
              <a:solidFill>
                <a:schemeClr val="accent1"/>
              </a:solidFill>
              <a:effectLst/>
              <a:latin typeface="Cambria" panose="02040503050406030204" pitchFamily="18" charset="0"/>
              <a:ea typeface="Cambria" panose="02040503050406030204" pitchFamily="18" charset="0"/>
              <a:cs typeface="+mn-cs"/>
            </a:rPr>
            <a:pPr marL="0" marR="0" lvl="0" indent="0" algn="ctr" defTabSz="914400" eaLnBrk="1" fontAlgn="auto" latinLnBrk="0" hangingPunct="1">
              <a:lnSpc>
                <a:spcPct val="100000"/>
              </a:lnSpc>
              <a:spcBef>
                <a:spcPts val="0"/>
              </a:spcBef>
              <a:spcAft>
                <a:spcPts val="0"/>
              </a:spcAft>
              <a:buClrTx/>
              <a:buSzTx/>
              <a:buFontTx/>
              <a:buNone/>
              <a:tabLst/>
              <a:defRPr/>
            </a:pPr>
            <a:t>$460,947</a:t>
          </a:fld>
          <a:endParaRPr lang="en-US" sz="2400" b="1">
            <a:solidFill>
              <a:schemeClr val="accent1"/>
            </a:solidFill>
            <a:effectLst/>
            <a:latin typeface="Cambria" panose="02040503050406030204" pitchFamily="18" charset="0"/>
            <a:ea typeface="Cambria" panose="02040503050406030204" pitchFamily="18" charset="0"/>
            <a:cs typeface="+mn-cs"/>
          </a:endParaRPr>
        </a:p>
      </xdr:txBody>
    </xdr:sp>
    <xdr:clientData/>
  </xdr:twoCellAnchor>
  <xdr:twoCellAnchor>
    <xdr:from>
      <xdr:col>17</xdr:col>
      <xdr:colOff>177799</xdr:colOff>
      <xdr:row>8</xdr:row>
      <xdr:rowOff>17675</xdr:rowOff>
    </xdr:from>
    <xdr:to>
      <xdr:col>18</xdr:col>
      <xdr:colOff>590218</xdr:colOff>
      <xdr:row>10</xdr:row>
      <xdr:rowOff>176153</xdr:rowOff>
    </xdr:to>
    <xdr:sp macro="" textlink="'KPI Calculations'!C7">
      <xdr:nvSpPr>
        <xdr:cNvPr id="13" name="TextBox 12">
          <a:extLst>
            <a:ext uri="{FF2B5EF4-FFF2-40B4-BE49-F238E27FC236}">
              <a16:creationId xmlns:a16="http://schemas.microsoft.com/office/drawing/2014/main" id="{F9D35717-ECD6-8576-305E-EB3CEE22C5B6}"/>
            </a:ext>
          </a:extLst>
        </xdr:cNvPr>
        <xdr:cNvSpPr txBox="1"/>
      </xdr:nvSpPr>
      <xdr:spPr>
        <a:xfrm>
          <a:off x="11026774" y="1284500"/>
          <a:ext cx="1050594" cy="520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E8CCC2BC-CAAA-4EEA-930C-71E9F2FDEC8F}" type="TxLink">
            <a:rPr lang="en-US" sz="2400" b="1">
              <a:solidFill>
                <a:schemeClr val="accent1"/>
              </a:solidFill>
              <a:effectLst/>
              <a:latin typeface="Cambria" panose="02040503050406030204" pitchFamily="18" charset="0"/>
              <a:ea typeface="Cambria" panose="02040503050406030204" pitchFamily="18" charset="0"/>
              <a:cs typeface="+mn-cs"/>
            </a:rPr>
            <a:pPr marL="0" marR="0" lvl="0" indent="0" algn="ctr" defTabSz="914400" eaLnBrk="1" fontAlgn="auto" latinLnBrk="0" hangingPunct="1">
              <a:lnSpc>
                <a:spcPct val="100000"/>
              </a:lnSpc>
              <a:spcBef>
                <a:spcPts val="0"/>
              </a:spcBef>
              <a:spcAft>
                <a:spcPts val="0"/>
              </a:spcAft>
              <a:buClrTx/>
              <a:buSzTx/>
              <a:buFontTx/>
              <a:buNone/>
              <a:tabLst/>
              <a:defRPr/>
            </a:pPr>
            <a:t>14%</a:t>
          </a:fld>
          <a:endParaRPr lang="en-US" sz="2400" b="1">
            <a:solidFill>
              <a:schemeClr val="accent1"/>
            </a:solidFill>
            <a:effectLst/>
            <a:latin typeface="Cambria" panose="02040503050406030204" pitchFamily="18" charset="0"/>
            <a:ea typeface="Cambria" panose="02040503050406030204" pitchFamily="18" charset="0"/>
            <a:cs typeface="+mn-cs"/>
          </a:endParaRPr>
        </a:p>
      </xdr:txBody>
    </xdr:sp>
    <xdr:clientData/>
  </xdr:twoCellAnchor>
  <xdr:twoCellAnchor>
    <xdr:from>
      <xdr:col>10</xdr:col>
      <xdr:colOff>448839</xdr:colOff>
      <xdr:row>12</xdr:row>
      <xdr:rowOff>147638</xdr:rowOff>
    </xdr:from>
    <xdr:to>
      <xdr:col>17</xdr:col>
      <xdr:colOff>90699</xdr:colOff>
      <xdr:row>19</xdr:row>
      <xdr:rowOff>28575</xdr:rowOff>
    </xdr:to>
    <xdr:sp macro="" textlink="">
      <xdr:nvSpPr>
        <xdr:cNvPr id="15" name="Rectangle: Rounded Corners 14">
          <a:extLst>
            <a:ext uri="{FF2B5EF4-FFF2-40B4-BE49-F238E27FC236}">
              <a16:creationId xmlns:a16="http://schemas.microsoft.com/office/drawing/2014/main" id="{3A8ACD80-F1C5-93E7-F8F0-DAAF0446402E}"/>
            </a:ext>
          </a:extLst>
        </xdr:cNvPr>
        <xdr:cNvSpPr/>
      </xdr:nvSpPr>
      <xdr:spPr>
        <a:xfrm>
          <a:off x="6830589" y="2138363"/>
          <a:ext cx="4109085" cy="1147762"/>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118321</xdr:colOff>
      <xdr:row>15</xdr:row>
      <xdr:rowOff>164147</xdr:rowOff>
    </xdr:from>
    <xdr:to>
      <xdr:col>15</xdr:col>
      <xdr:colOff>415501</xdr:colOff>
      <xdr:row>18</xdr:row>
      <xdr:rowOff>4973</xdr:rowOff>
    </xdr:to>
    <xdr:sp macro="" textlink="'KPI Calculations'!G20">
      <xdr:nvSpPr>
        <xdr:cNvPr id="16" name="TextBox 15">
          <a:extLst>
            <a:ext uri="{FF2B5EF4-FFF2-40B4-BE49-F238E27FC236}">
              <a16:creationId xmlns:a16="http://schemas.microsoft.com/office/drawing/2014/main" id="{0F1F121C-6050-4531-87CB-13E7B8EAFDFD}"/>
            </a:ext>
          </a:extLst>
        </xdr:cNvPr>
        <xdr:cNvSpPr txBox="1"/>
      </xdr:nvSpPr>
      <xdr:spPr>
        <a:xfrm>
          <a:off x="7776421" y="2697797"/>
          <a:ext cx="2211705" cy="383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6D89A4E4-32B2-4011-BC8F-3BF21E584371}" type="TxLink">
            <a:rPr lang="en-US" sz="2400" b="1">
              <a:solidFill>
                <a:schemeClr val="accent1"/>
              </a:solidFill>
              <a:effectLst/>
              <a:latin typeface="Cambria" panose="02040503050406030204" pitchFamily="18" charset="0"/>
              <a:ea typeface="Cambria" panose="02040503050406030204" pitchFamily="18" charset="0"/>
              <a:cs typeface="+mn-cs"/>
            </a:rPr>
            <a:pPr marL="0" marR="0" lvl="0" indent="0" algn="ctr" defTabSz="914400" eaLnBrk="1" fontAlgn="auto" latinLnBrk="0" hangingPunct="1">
              <a:lnSpc>
                <a:spcPct val="100000"/>
              </a:lnSpc>
              <a:spcBef>
                <a:spcPts val="0"/>
              </a:spcBef>
              <a:spcAft>
                <a:spcPts val="0"/>
              </a:spcAft>
              <a:buClrTx/>
              <a:buSzTx/>
              <a:buFontTx/>
              <a:buNone/>
              <a:tabLst/>
              <a:defRPr/>
            </a:pPr>
            <a:t>39.28%</a:t>
          </a:fld>
          <a:endParaRPr lang="en-US" sz="2400" b="1">
            <a:solidFill>
              <a:schemeClr val="accent1"/>
            </a:solidFill>
            <a:effectLst/>
            <a:latin typeface="Cambria" panose="02040503050406030204" pitchFamily="18" charset="0"/>
            <a:ea typeface="Cambria" panose="02040503050406030204" pitchFamily="18" charset="0"/>
            <a:cs typeface="+mn-cs"/>
          </a:endParaRPr>
        </a:p>
      </xdr:txBody>
    </xdr:sp>
    <xdr:clientData/>
  </xdr:twoCellAnchor>
  <xdr:twoCellAnchor>
    <xdr:from>
      <xdr:col>10</xdr:col>
      <xdr:colOff>421321</xdr:colOff>
      <xdr:row>13</xdr:row>
      <xdr:rowOff>100225</xdr:rowOff>
    </xdr:from>
    <xdr:to>
      <xdr:col>15</xdr:col>
      <xdr:colOff>140228</xdr:colOff>
      <xdr:row>15</xdr:row>
      <xdr:rowOff>92605</xdr:rowOff>
    </xdr:to>
    <xdr:sp macro="" textlink="">
      <xdr:nvSpPr>
        <xdr:cNvPr id="18" name="TextBox 17">
          <a:extLst>
            <a:ext uri="{FF2B5EF4-FFF2-40B4-BE49-F238E27FC236}">
              <a16:creationId xmlns:a16="http://schemas.microsoft.com/office/drawing/2014/main" id="{F3EFCAE9-4C0D-7270-F7A0-B1DF5C062648}"/>
            </a:ext>
          </a:extLst>
        </xdr:cNvPr>
        <xdr:cNvSpPr txBox="1"/>
      </xdr:nvSpPr>
      <xdr:spPr>
        <a:xfrm>
          <a:off x="6803071" y="2271925"/>
          <a:ext cx="2909782"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Top Revenue Contributor is</a:t>
          </a:r>
        </a:p>
      </xdr:txBody>
    </xdr:sp>
    <xdr:clientData/>
  </xdr:twoCellAnchor>
  <xdr:twoCellAnchor>
    <xdr:from>
      <xdr:col>14</xdr:col>
      <xdr:colOff>227859</xdr:colOff>
      <xdr:row>13</xdr:row>
      <xdr:rowOff>106892</xdr:rowOff>
    </xdr:from>
    <xdr:to>
      <xdr:col>17</xdr:col>
      <xdr:colOff>525039</xdr:colOff>
      <xdr:row>15</xdr:row>
      <xdr:rowOff>129752</xdr:rowOff>
    </xdr:to>
    <xdr:sp macro="" textlink="'KPI Calculations'!G22">
      <xdr:nvSpPr>
        <xdr:cNvPr id="19" name="TextBox 18">
          <a:extLst>
            <a:ext uri="{FF2B5EF4-FFF2-40B4-BE49-F238E27FC236}">
              <a16:creationId xmlns:a16="http://schemas.microsoft.com/office/drawing/2014/main" id="{A70D5D4A-0E66-F484-E519-DA91CA9CDAC7}"/>
            </a:ext>
          </a:extLst>
        </xdr:cNvPr>
        <xdr:cNvSpPr txBox="1"/>
      </xdr:nvSpPr>
      <xdr:spPr>
        <a:xfrm>
          <a:off x="9162309" y="2278592"/>
          <a:ext cx="2211705" cy="384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525C445E-896A-4A00-8A5B-2FBB9D3815E8}" type="TxLink">
            <a:rPr lang="en-US" sz="1800" b="1">
              <a:solidFill>
                <a:schemeClr val="accent1"/>
              </a:solidFill>
              <a:effectLst/>
              <a:latin typeface="Cambria" panose="02040503050406030204" pitchFamily="18" charset="0"/>
              <a:ea typeface="Cambria" panose="02040503050406030204" pitchFamily="18" charset="0"/>
              <a:cs typeface="+mn-cs"/>
            </a:rPr>
            <a:pPr marL="0" marR="0" lvl="0" indent="0" algn="ctr" defTabSz="914400" eaLnBrk="1" fontAlgn="auto" latinLnBrk="0" hangingPunct="1">
              <a:lnSpc>
                <a:spcPct val="100000"/>
              </a:lnSpc>
              <a:spcBef>
                <a:spcPts val="0"/>
              </a:spcBef>
              <a:spcAft>
                <a:spcPts val="0"/>
              </a:spcAft>
              <a:buClrTx/>
              <a:buSzTx/>
              <a:buFontTx/>
              <a:buNone/>
              <a:tabLst/>
              <a:defRPr/>
            </a:pPr>
            <a:t>North Zone</a:t>
          </a:fld>
          <a:endParaRPr lang="en-US" sz="1800" b="1">
            <a:solidFill>
              <a:schemeClr val="accent1"/>
            </a:solidFill>
            <a:effectLst/>
            <a:latin typeface="Cambria" panose="02040503050406030204" pitchFamily="18" charset="0"/>
            <a:ea typeface="Cambria" panose="02040503050406030204" pitchFamily="18" charset="0"/>
            <a:cs typeface="+mn-cs"/>
          </a:endParaRPr>
        </a:p>
      </xdr:txBody>
    </xdr:sp>
    <xdr:clientData/>
  </xdr:twoCellAnchor>
  <xdr:twoCellAnchor>
    <xdr:from>
      <xdr:col>0</xdr:col>
      <xdr:colOff>388409</xdr:colOff>
      <xdr:row>22</xdr:row>
      <xdr:rowOff>0</xdr:rowOff>
    </xdr:from>
    <xdr:to>
      <xdr:col>10</xdr:col>
      <xdr:colOff>110279</xdr:colOff>
      <xdr:row>36</xdr:row>
      <xdr:rowOff>55669</xdr:rowOff>
    </xdr:to>
    <xdr:graphicFrame macro="">
      <xdr:nvGraphicFramePr>
        <xdr:cNvPr id="20" name="Chart 19">
          <a:extLst>
            <a:ext uri="{FF2B5EF4-FFF2-40B4-BE49-F238E27FC236}">
              <a16:creationId xmlns:a16="http://schemas.microsoft.com/office/drawing/2014/main" id="{892F696A-9377-411D-8D89-1F8633FAD1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292207</xdr:colOff>
      <xdr:row>20</xdr:row>
      <xdr:rowOff>165206</xdr:rowOff>
    </xdr:from>
    <xdr:to>
      <xdr:col>8</xdr:col>
      <xdr:colOff>212197</xdr:colOff>
      <xdr:row>23</xdr:row>
      <xdr:rowOff>73766</xdr:rowOff>
    </xdr:to>
    <xdr:sp macro="" textlink="">
      <xdr:nvSpPr>
        <xdr:cNvPr id="21" name="TextBox 20">
          <a:extLst>
            <a:ext uri="{FF2B5EF4-FFF2-40B4-BE49-F238E27FC236}">
              <a16:creationId xmlns:a16="http://schemas.microsoft.com/office/drawing/2014/main" id="{4C19E17C-645D-49F7-AAD2-477D0F3C9D32}"/>
            </a:ext>
          </a:extLst>
        </xdr:cNvPr>
        <xdr:cNvSpPr txBox="1"/>
      </xdr:nvSpPr>
      <xdr:spPr>
        <a:xfrm>
          <a:off x="1568557" y="3603731"/>
          <a:ext cx="3749040" cy="451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Revenue Trend Over Time by Region</a:t>
          </a:r>
        </a:p>
      </xdr:txBody>
    </xdr:sp>
    <xdr:clientData/>
  </xdr:twoCellAnchor>
  <xdr:twoCellAnchor>
    <xdr:from>
      <xdr:col>0</xdr:col>
      <xdr:colOff>405869</xdr:colOff>
      <xdr:row>5</xdr:row>
      <xdr:rowOff>57149</xdr:rowOff>
    </xdr:from>
    <xdr:to>
      <xdr:col>10</xdr:col>
      <xdr:colOff>32485</xdr:colOff>
      <xdr:row>19</xdr:row>
      <xdr:rowOff>128586</xdr:rowOff>
    </xdr:to>
    <xdr:sp macro="" textlink="">
      <xdr:nvSpPr>
        <xdr:cNvPr id="25" name="Rectangle: Rounded Corners 24">
          <a:extLst>
            <a:ext uri="{FF2B5EF4-FFF2-40B4-BE49-F238E27FC236}">
              <a16:creationId xmlns:a16="http://schemas.microsoft.com/office/drawing/2014/main" id="{A7F2E18A-0D7C-4B26-B668-D45EBB35687D}"/>
            </a:ext>
          </a:extLst>
        </xdr:cNvPr>
        <xdr:cNvSpPr/>
      </xdr:nvSpPr>
      <xdr:spPr>
        <a:xfrm>
          <a:off x="405869" y="781049"/>
          <a:ext cx="6008366" cy="2605087"/>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33441</xdr:colOff>
      <xdr:row>7</xdr:row>
      <xdr:rowOff>14564</xdr:rowOff>
    </xdr:from>
    <xdr:to>
      <xdr:col>9</xdr:col>
      <xdr:colOff>595313</xdr:colOff>
      <xdr:row>18</xdr:row>
      <xdr:rowOff>74612</xdr:rowOff>
    </xdr:to>
    <xdr:graphicFrame macro="">
      <xdr:nvGraphicFramePr>
        <xdr:cNvPr id="24" name="Chart 23">
          <a:extLst>
            <a:ext uri="{FF2B5EF4-FFF2-40B4-BE49-F238E27FC236}">
              <a16:creationId xmlns:a16="http://schemas.microsoft.com/office/drawing/2014/main" id="{3D927580-F573-48A8-A6C7-3A810122F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2962</xdr:colOff>
      <xdr:row>5</xdr:row>
      <xdr:rowOff>158571</xdr:rowOff>
    </xdr:from>
    <xdr:to>
      <xdr:col>9</xdr:col>
      <xdr:colOff>197359</xdr:colOff>
      <xdr:row>8</xdr:row>
      <xdr:rowOff>85620</xdr:rowOff>
    </xdr:to>
    <xdr:sp macro="" textlink="">
      <xdr:nvSpPr>
        <xdr:cNvPr id="26" name="TextBox 25">
          <a:extLst>
            <a:ext uri="{FF2B5EF4-FFF2-40B4-BE49-F238E27FC236}">
              <a16:creationId xmlns:a16="http://schemas.microsoft.com/office/drawing/2014/main" id="{E29E3039-927E-44E4-9A8C-1D3C123D49C5}"/>
            </a:ext>
          </a:extLst>
        </xdr:cNvPr>
        <xdr:cNvSpPr txBox="1"/>
      </xdr:nvSpPr>
      <xdr:spPr>
        <a:xfrm>
          <a:off x="1279312" y="882471"/>
          <a:ext cx="4661622" cy="469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Units Sold by Category and Region</a:t>
          </a:r>
        </a:p>
      </xdr:txBody>
    </xdr:sp>
    <xdr:clientData/>
  </xdr:twoCellAnchor>
  <xdr:twoCellAnchor>
    <xdr:from>
      <xdr:col>18</xdr:col>
      <xdr:colOff>585788</xdr:colOff>
      <xdr:row>19</xdr:row>
      <xdr:rowOff>142875</xdr:rowOff>
    </xdr:from>
    <xdr:to>
      <xdr:col>25</xdr:col>
      <xdr:colOff>309563</xdr:colOff>
      <xdr:row>36</xdr:row>
      <xdr:rowOff>65192</xdr:rowOff>
    </xdr:to>
    <xdr:sp macro="" textlink="">
      <xdr:nvSpPr>
        <xdr:cNvPr id="23" name="Rectangle: Rounded Corners 22">
          <a:extLst>
            <a:ext uri="{FF2B5EF4-FFF2-40B4-BE49-F238E27FC236}">
              <a16:creationId xmlns:a16="http://schemas.microsoft.com/office/drawing/2014/main" id="{1DBEE9BB-DE15-4F81-B42E-2AFD744C508D}"/>
            </a:ext>
          </a:extLst>
        </xdr:cNvPr>
        <xdr:cNvSpPr/>
      </xdr:nvSpPr>
      <xdr:spPr>
        <a:xfrm>
          <a:off x="12072938" y="3400425"/>
          <a:ext cx="4191000" cy="2998892"/>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72811</xdr:colOff>
      <xdr:row>22</xdr:row>
      <xdr:rowOff>36618</xdr:rowOff>
    </xdr:from>
    <xdr:to>
      <xdr:col>25</xdr:col>
      <xdr:colOff>567053</xdr:colOff>
      <xdr:row>35</xdr:row>
      <xdr:rowOff>156632</xdr:rowOff>
    </xdr:to>
    <xdr:graphicFrame macro="">
      <xdr:nvGraphicFramePr>
        <xdr:cNvPr id="22" name="Chart 21">
          <a:extLst>
            <a:ext uri="{FF2B5EF4-FFF2-40B4-BE49-F238E27FC236}">
              <a16:creationId xmlns:a16="http://schemas.microsoft.com/office/drawing/2014/main" id="{CDB7BC54-3998-4AB2-9BB9-FC41B9EE1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357188</xdr:colOff>
      <xdr:row>5</xdr:row>
      <xdr:rowOff>150496</xdr:rowOff>
    </xdr:from>
    <xdr:to>
      <xdr:col>25</xdr:col>
      <xdr:colOff>114301</xdr:colOff>
      <xdr:row>10</xdr:row>
      <xdr:rowOff>123825</xdr:rowOff>
    </xdr:to>
    <xdr:sp macro="" textlink="">
      <xdr:nvSpPr>
        <xdr:cNvPr id="27" name="Rectangle: Rounded Corners 26">
          <a:extLst>
            <a:ext uri="{FF2B5EF4-FFF2-40B4-BE49-F238E27FC236}">
              <a16:creationId xmlns:a16="http://schemas.microsoft.com/office/drawing/2014/main" id="{84D19102-B393-288C-44CA-406C660499C4}"/>
            </a:ext>
          </a:extLst>
        </xdr:cNvPr>
        <xdr:cNvSpPr/>
      </xdr:nvSpPr>
      <xdr:spPr>
        <a:xfrm>
          <a:off x="13120688" y="874396"/>
          <a:ext cx="2947988" cy="878204"/>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504825</xdr:colOff>
      <xdr:row>6</xdr:row>
      <xdr:rowOff>20002</xdr:rowOff>
    </xdr:from>
    <xdr:to>
      <xdr:col>26</xdr:col>
      <xdr:colOff>69616</xdr:colOff>
      <xdr:row>8</xdr:row>
      <xdr:rowOff>57151</xdr:rowOff>
    </xdr:to>
    <xdr:sp macro="" textlink="">
      <xdr:nvSpPr>
        <xdr:cNvPr id="28" name="TextBox 27">
          <a:extLst>
            <a:ext uri="{FF2B5EF4-FFF2-40B4-BE49-F238E27FC236}">
              <a16:creationId xmlns:a16="http://schemas.microsoft.com/office/drawing/2014/main" id="{F42B1D8C-3103-479C-68E3-47F4EE7F93C4}"/>
            </a:ext>
          </a:extLst>
        </xdr:cNvPr>
        <xdr:cNvSpPr txBox="1"/>
      </xdr:nvSpPr>
      <xdr:spPr>
        <a:xfrm>
          <a:off x="12630150" y="924877"/>
          <a:ext cx="4032016" cy="39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Cambria" panose="02040503050406030204" pitchFamily="18" charset="0"/>
              <a:ea typeface="Cambria" panose="02040503050406030204" pitchFamily="18" charset="0"/>
              <a:cs typeface="+mn-cs"/>
            </a:rPr>
            <a:t>Avg Revenue per Transaction</a:t>
          </a:r>
        </a:p>
      </xdr:txBody>
    </xdr:sp>
    <xdr:clientData/>
  </xdr:twoCellAnchor>
  <xdr:twoCellAnchor>
    <xdr:from>
      <xdr:col>20</xdr:col>
      <xdr:colOff>611717</xdr:colOff>
      <xdr:row>7</xdr:row>
      <xdr:rowOff>162349</xdr:rowOff>
    </xdr:from>
    <xdr:to>
      <xdr:col>24</xdr:col>
      <xdr:colOff>437314</xdr:colOff>
      <xdr:row>10</xdr:row>
      <xdr:rowOff>139851</xdr:rowOff>
    </xdr:to>
    <xdr:sp macro="" textlink="'KPI Calculations'!I12">
      <xdr:nvSpPr>
        <xdr:cNvPr id="29" name="TextBox 28">
          <a:extLst>
            <a:ext uri="{FF2B5EF4-FFF2-40B4-BE49-F238E27FC236}">
              <a16:creationId xmlns:a16="http://schemas.microsoft.com/office/drawing/2014/main" id="{DD0378E8-3413-BB84-40DD-92DB4F5F97EA}"/>
            </a:ext>
          </a:extLst>
        </xdr:cNvPr>
        <xdr:cNvSpPr txBox="1"/>
      </xdr:nvSpPr>
      <xdr:spPr>
        <a:xfrm>
          <a:off x="13375217" y="1248199"/>
          <a:ext cx="2378297" cy="520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9D781DB7-AF1E-4B1A-850F-044176ABDE56}" type="TxLink">
            <a:rPr lang="en-US" sz="2400" b="1">
              <a:solidFill>
                <a:schemeClr val="accent1"/>
              </a:solidFill>
              <a:effectLst/>
              <a:latin typeface="Cambria" panose="02040503050406030204" pitchFamily="18" charset="0"/>
              <a:ea typeface="Cambria" panose="02040503050406030204" pitchFamily="18" charset="0"/>
              <a:cs typeface="+mn-cs"/>
            </a:rPr>
            <a:pPr marL="0" marR="0" lvl="0" indent="0" algn="ctr" defTabSz="914400" eaLnBrk="1" fontAlgn="auto" latinLnBrk="0" hangingPunct="1">
              <a:lnSpc>
                <a:spcPct val="100000"/>
              </a:lnSpc>
              <a:spcBef>
                <a:spcPts val="0"/>
              </a:spcBef>
              <a:spcAft>
                <a:spcPts val="0"/>
              </a:spcAft>
              <a:buClrTx/>
              <a:buSzTx/>
              <a:buFontTx/>
              <a:buNone/>
              <a:tabLst/>
              <a:defRPr/>
            </a:pPr>
            <a:t>$9,218.94</a:t>
          </a:fld>
          <a:endParaRPr lang="en-US" sz="2400" b="1">
            <a:solidFill>
              <a:schemeClr val="accent1"/>
            </a:solidFill>
            <a:effectLst/>
            <a:latin typeface="Cambria" panose="02040503050406030204" pitchFamily="18" charset="0"/>
            <a:ea typeface="Cambria" panose="02040503050406030204" pitchFamily="18" charset="0"/>
            <a:cs typeface="+mn-cs"/>
          </a:endParaRPr>
        </a:p>
      </xdr:txBody>
    </xdr:sp>
    <xdr:clientData/>
  </xdr:twoCellAnchor>
  <xdr:twoCellAnchor>
    <xdr:from>
      <xdr:col>18</xdr:col>
      <xdr:colOff>595314</xdr:colOff>
      <xdr:row>19</xdr:row>
      <xdr:rowOff>158115</xdr:rowOff>
    </xdr:from>
    <xdr:to>
      <xdr:col>22</xdr:col>
      <xdr:colOff>542925</xdr:colOff>
      <xdr:row>22</xdr:row>
      <xdr:rowOff>34290</xdr:rowOff>
    </xdr:to>
    <xdr:sp macro="" textlink="">
      <xdr:nvSpPr>
        <xdr:cNvPr id="30" name="TextBox 29">
          <a:extLst>
            <a:ext uri="{FF2B5EF4-FFF2-40B4-BE49-F238E27FC236}">
              <a16:creationId xmlns:a16="http://schemas.microsoft.com/office/drawing/2014/main" id="{E35D2FAF-46DE-D5E6-07F3-6333DA16FEE1}"/>
            </a:ext>
          </a:extLst>
        </xdr:cNvPr>
        <xdr:cNvSpPr txBox="1"/>
      </xdr:nvSpPr>
      <xdr:spPr>
        <a:xfrm>
          <a:off x="12082464" y="3415665"/>
          <a:ext cx="250031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500" b="1">
              <a:solidFill>
                <a:schemeClr val="dk1"/>
              </a:solidFill>
              <a:effectLst/>
              <a:latin typeface="Cambria" panose="02040503050406030204" pitchFamily="18" charset="0"/>
              <a:ea typeface="Cambria" panose="02040503050406030204" pitchFamily="18" charset="0"/>
              <a:cs typeface="+mn-cs"/>
            </a:rPr>
            <a:t>Revenue by Region</a:t>
          </a:r>
        </a:p>
      </xdr:txBody>
    </xdr:sp>
    <xdr:clientData/>
  </xdr:twoCellAnchor>
  <xdr:twoCellAnchor>
    <xdr:from>
      <xdr:col>10</xdr:col>
      <xdr:colOff>383219</xdr:colOff>
      <xdr:row>19</xdr:row>
      <xdr:rowOff>166687</xdr:rowOff>
    </xdr:from>
    <xdr:to>
      <xdr:col>18</xdr:col>
      <xdr:colOff>328613</xdr:colOff>
      <xdr:row>36</xdr:row>
      <xdr:rowOff>52388</xdr:rowOff>
    </xdr:to>
    <xdr:sp macro="" textlink="">
      <xdr:nvSpPr>
        <xdr:cNvPr id="32" name="Rectangle: Rounded Corners 31">
          <a:extLst>
            <a:ext uri="{FF2B5EF4-FFF2-40B4-BE49-F238E27FC236}">
              <a16:creationId xmlns:a16="http://schemas.microsoft.com/office/drawing/2014/main" id="{EAF3B184-6D05-FC8B-7739-25F9C9523EE1}"/>
            </a:ext>
          </a:extLst>
        </xdr:cNvPr>
        <xdr:cNvSpPr/>
      </xdr:nvSpPr>
      <xdr:spPr>
        <a:xfrm>
          <a:off x="6764969" y="3424237"/>
          <a:ext cx="5050794" cy="2962276"/>
        </a:xfrm>
        <a:prstGeom prst="roundRect">
          <a:avLst>
            <a:gd name="adj" fmla="val 11565"/>
          </a:avLst>
        </a:prstGeom>
        <a:solidFill>
          <a:schemeClr val="accent4">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385763</xdr:colOff>
      <xdr:row>21</xdr:row>
      <xdr:rowOff>1</xdr:rowOff>
    </xdr:from>
    <xdr:to>
      <xdr:col>18</xdr:col>
      <xdr:colOff>261938</xdr:colOff>
      <xdr:row>36</xdr:row>
      <xdr:rowOff>28576</xdr:rowOff>
    </xdr:to>
    <xdr:graphicFrame macro="">
      <xdr:nvGraphicFramePr>
        <xdr:cNvPr id="31" name="Chart 30">
          <a:extLst>
            <a:ext uri="{FF2B5EF4-FFF2-40B4-BE49-F238E27FC236}">
              <a16:creationId xmlns:a16="http://schemas.microsoft.com/office/drawing/2014/main" id="{7D2C9F1E-0B31-4AF1-9EAE-26CA12518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328614</xdr:colOff>
      <xdr:row>19</xdr:row>
      <xdr:rowOff>139065</xdr:rowOff>
    </xdr:from>
    <xdr:to>
      <xdr:col>13</xdr:col>
      <xdr:colOff>604838</xdr:colOff>
      <xdr:row>24</xdr:row>
      <xdr:rowOff>66675</xdr:rowOff>
    </xdr:to>
    <xdr:sp macro="" textlink="">
      <xdr:nvSpPr>
        <xdr:cNvPr id="33" name="TextBox 32">
          <a:extLst>
            <a:ext uri="{FF2B5EF4-FFF2-40B4-BE49-F238E27FC236}">
              <a16:creationId xmlns:a16="http://schemas.microsoft.com/office/drawing/2014/main" id="{4B69618D-1344-D54A-1FD4-D13CC3E99AAC}"/>
            </a:ext>
          </a:extLst>
        </xdr:cNvPr>
        <xdr:cNvSpPr txBox="1"/>
      </xdr:nvSpPr>
      <xdr:spPr>
        <a:xfrm>
          <a:off x="6710364" y="3396615"/>
          <a:ext cx="2190749" cy="83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Cambria" panose="02040503050406030204" pitchFamily="18" charset="0"/>
              <a:ea typeface="Cambria" panose="02040503050406030204" pitchFamily="18" charset="0"/>
              <a:cs typeface="+mn-cs"/>
            </a:rPr>
            <a:t>Revenue by</a:t>
          </a:r>
        </a:p>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Cambria" panose="02040503050406030204" pitchFamily="18" charset="0"/>
              <a:ea typeface="Cambria" panose="02040503050406030204" pitchFamily="18" charset="0"/>
              <a:cs typeface="+mn-cs"/>
            </a:rPr>
            <a:t> Payment Method</a:t>
          </a:r>
        </a:p>
      </xdr:txBody>
    </xdr:sp>
    <xdr:clientData/>
  </xdr:twoCellAnchor>
  <xdr:twoCellAnchor editAs="oneCell">
    <xdr:from>
      <xdr:col>12</xdr:col>
      <xdr:colOff>495978</xdr:colOff>
      <xdr:row>1</xdr:row>
      <xdr:rowOff>13609</xdr:rowOff>
    </xdr:from>
    <xdr:to>
      <xdr:col>17</xdr:col>
      <xdr:colOff>642256</xdr:colOff>
      <xdr:row>5</xdr:row>
      <xdr:rowOff>65314</xdr:rowOff>
    </xdr:to>
    <mc:AlternateContent xmlns:mc="http://schemas.openxmlformats.org/markup-compatibility/2006">
      <mc:Choice xmlns:a14="http://schemas.microsoft.com/office/drawing/2010/main" Requires="a14">
        <xdr:graphicFrame macro="">
          <xdr:nvGraphicFramePr>
            <xdr:cNvPr id="34" name="Category">
              <a:extLst>
                <a:ext uri="{FF2B5EF4-FFF2-40B4-BE49-F238E27FC236}">
                  <a16:creationId xmlns:a16="http://schemas.microsoft.com/office/drawing/2014/main" id="{35FD7DEF-A390-41AC-8639-FF06AA81505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8154078" y="194584"/>
              <a:ext cx="3333343" cy="7756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128587</xdr:colOff>
      <xdr:row>1</xdr:row>
      <xdr:rowOff>14286</xdr:rowOff>
    </xdr:from>
    <xdr:to>
      <xdr:col>25</xdr:col>
      <xdr:colOff>238125</xdr:colOff>
      <xdr:row>5</xdr:row>
      <xdr:rowOff>57150</xdr:rowOff>
    </xdr:to>
    <mc:AlternateContent xmlns:mc="http://schemas.openxmlformats.org/markup-compatibility/2006">
      <mc:Choice xmlns:a14="http://schemas.microsoft.com/office/drawing/2010/main" Requires="a14">
        <xdr:graphicFrame macro="">
          <xdr:nvGraphicFramePr>
            <xdr:cNvPr id="35" name="Region">
              <a:extLst>
                <a:ext uri="{FF2B5EF4-FFF2-40B4-BE49-F238E27FC236}">
                  <a16:creationId xmlns:a16="http://schemas.microsoft.com/office/drawing/2014/main" id="{57A0D6E2-ECF5-48A9-849A-0D04D9AF2C3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615737" y="195261"/>
              <a:ext cx="4576763" cy="7667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461962</xdr:colOff>
      <xdr:row>7</xdr:row>
      <xdr:rowOff>171449</xdr:rowOff>
    </xdr:from>
    <xdr:to>
      <xdr:col>21</xdr:col>
      <xdr:colOff>301788</xdr:colOff>
      <xdr:row>10</xdr:row>
      <xdr:rowOff>106525</xdr:rowOff>
    </xdr:to>
    <xdr:pic>
      <xdr:nvPicPr>
        <xdr:cNvPr id="41" name="Picture 40">
          <a:extLst>
            <a:ext uri="{FF2B5EF4-FFF2-40B4-BE49-F238E27FC236}">
              <a16:creationId xmlns:a16="http://schemas.microsoft.com/office/drawing/2014/main" id="{0DE5C415-B8E2-C23B-BF8B-01B6F114258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25462" y="1438274"/>
          <a:ext cx="478001" cy="478001"/>
        </a:xfrm>
        <a:prstGeom prst="rect">
          <a:avLst/>
        </a:prstGeom>
      </xdr:spPr>
    </xdr:pic>
    <xdr:clientData/>
  </xdr:twoCellAnchor>
  <xdr:twoCellAnchor editAs="oneCell">
    <xdr:from>
      <xdr:col>8</xdr:col>
      <xdr:colOff>342901</xdr:colOff>
      <xdr:row>5</xdr:row>
      <xdr:rowOff>171451</xdr:rowOff>
    </xdr:from>
    <xdr:to>
      <xdr:col>9</xdr:col>
      <xdr:colOff>414665</xdr:colOff>
      <xdr:row>9</xdr:row>
      <xdr:rowOff>157490</xdr:rowOff>
    </xdr:to>
    <xdr:pic>
      <xdr:nvPicPr>
        <xdr:cNvPr id="43" name="Picture 42">
          <a:extLst>
            <a:ext uri="{FF2B5EF4-FFF2-40B4-BE49-F238E27FC236}">
              <a16:creationId xmlns:a16="http://schemas.microsoft.com/office/drawing/2014/main" id="{BB825DA2-AE5E-9885-59C2-32F1059F80D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48301" y="1076326"/>
          <a:ext cx="709939" cy="709939"/>
        </a:xfrm>
        <a:prstGeom prst="rect">
          <a:avLst/>
        </a:prstGeom>
      </xdr:spPr>
    </xdr:pic>
    <xdr:clientData/>
  </xdr:twoCellAnchor>
  <xdr:twoCellAnchor editAs="oneCell">
    <xdr:from>
      <xdr:col>11</xdr:col>
      <xdr:colOff>42863</xdr:colOff>
      <xdr:row>31</xdr:row>
      <xdr:rowOff>95249</xdr:rowOff>
    </xdr:from>
    <xdr:to>
      <xdr:col>12</xdr:col>
      <xdr:colOff>31581</xdr:colOff>
      <xdr:row>34</xdr:row>
      <xdr:rowOff>179217</xdr:rowOff>
    </xdr:to>
    <xdr:pic>
      <xdr:nvPicPr>
        <xdr:cNvPr id="45" name="Picture 44">
          <a:extLst>
            <a:ext uri="{FF2B5EF4-FFF2-40B4-BE49-F238E27FC236}">
              <a16:creationId xmlns:a16="http://schemas.microsoft.com/office/drawing/2014/main" id="{1D651023-6602-1264-DFBC-166DC895869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062788" y="5705474"/>
          <a:ext cx="626893" cy="626893"/>
        </a:xfrm>
        <a:prstGeom prst="rect">
          <a:avLst/>
        </a:prstGeom>
      </xdr:spPr>
    </xdr:pic>
    <xdr:clientData/>
  </xdr:twoCellAnchor>
  <xdr:twoCellAnchor editAs="oneCell">
    <xdr:from>
      <xdr:col>15</xdr:col>
      <xdr:colOff>576264</xdr:colOff>
      <xdr:row>8</xdr:row>
      <xdr:rowOff>14288</xdr:rowOff>
    </xdr:from>
    <xdr:to>
      <xdr:col>16</xdr:col>
      <xdr:colOff>410182</xdr:colOff>
      <xdr:row>10</xdr:row>
      <xdr:rowOff>124431</xdr:rowOff>
    </xdr:to>
    <xdr:pic>
      <xdr:nvPicPr>
        <xdr:cNvPr id="47" name="Picture 46">
          <a:extLst>
            <a:ext uri="{FF2B5EF4-FFF2-40B4-BE49-F238E27FC236}">
              <a16:creationId xmlns:a16="http://schemas.microsoft.com/office/drawing/2014/main" id="{A9D2EA9F-3241-817B-239A-5E20ACF8AD2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148889" y="1462088"/>
          <a:ext cx="472093" cy="472093"/>
        </a:xfrm>
        <a:prstGeom prst="rect">
          <a:avLst/>
        </a:prstGeom>
      </xdr:spPr>
    </xdr:pic>
    <xdr:clientData/>
  </xdr:twoCellAnchor>
  <xdr:twoCellAnchor editAs="oneCell">
    <xdr:from>
      <xdr:col>11</xdr:col>
      <xdr:colOff>1</xdr:colOff>
      <xdr:row>15</xdr:row>
      <xdr:rowOff>114300</xdr:rowOff>
    </xdr:from>
    <xdr:to>
      <xdr:col>11</xdr:col>
      <xdr:colOff>586929</xdr:colOff>
      <xdr:row>18</xdr:row>
      <xdr:rowOff>158303</xdr:rowOff>
    </xdr:to>
    <xdr:pic>
      <xdr:nvPicPr>
        <xdr:cNvPr id="49" name="Picture 48">
          <a:extLst>
            <a:ext uri="{FF2B5EF4-FFF2-40B4-BE49-F238E27FC236}">
              <a16:creationId xmlns:a16="http://schemas.microsoft.com/office/drawing/2014/main" id="{2EAE3C95-9833-CCB9-A176-D2D6787AB04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19926" y="2828925"/>
          <a:ext cx="586928" cy="586928"/>
        </a:xfrm>
        <a:prstGeom prst="rect">
          <a:avLst/>
        </a:prstGeom>
      </xdr:spPr>
    </xdr:pic>
    <xdr:clientData/>
  </xdr:twoCellAnchor>
  <xdr:twoCellAnchor editAs="oneCell">
    <xdr:from>
      <xdr:col>10</xdr:col>
      <xdr:colOff>566740</xdr:colOff>
      <xdr:row>6</xdr:row>
      <xdr:rowOff>95251</xdr:rowOff>
    </xdr:from>
    <xdr:to>
      <xdr:col>12</xdr:col>
      <xdr:colOff>19621</xdr:colOff>
      <xdr:row>10</xdr:row>
      <xdr:rowOff>100582</xdr:rowOff>
    </xdr:to>
    <xdr:pic>
      <xdr:nvPicPr>
        <xdr:cNvPr id="51" name="Picture 50">
          <a:extLst>
            <a:ext uri="{FF2B5EF4-FFF2-40B4-BE49-F238E27FC236}">
              <a16:creationId xmlns:a16="http://schemas.microsoft.com/office/drawing/2014/main" id="{581DD229-A046-221E-7820-9753CDA1C9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948490" y="1181101"/>
          <a:ext cx="729231" cy="7292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zia Ashfaq" refreshedDate="45897.336924189818" createdVersion="8" refreshedVersion="8" minRefreshableVersion="3" recordCount="50" xr:uid="{3D5E2292-6B8A-49DD-9A31-48DB4A9A87BD}">
  <cacheSource type="worksheet">
    <worksheetSource name="Table1"/>
  </cacheSource>
  <cacheFields count="10">
    <cacheField name="Date" numFmtId="14">
      <sharedItems containsSemiMixedTypes="0" containsNonDate="0" containsDate="1" containsString="0" minDate="2024-07-01T00:00:00" maxDate="2024-07-26T00:00:00" count="22">
        <d v="2024-07-01T00:00:00"/>
        <d v="2024-07-02T00:00:00"/>
        <d v="2024-07-03T00:00:00"/>
        <d v="2024-07-04T00:00:00"/>
        <d v="2024-07-05T00:00:00"/>
        <d v="2024-07-06T00:00:00"/>
        <d v="2024-07-07T00:00:00"/>
        <d v="2024-07-08T00:00:00"/>
        <d v="2024-07-09T00:00:00"/>
        <d v="2024-07-10T00:00:00"/>
        <d v="2024-07-11T00:00:00"/>
        <d v="2024-07-12T00:00:00"/>
        <d v="2024-07-13T00:00:00"/>
        <d v="2024-07-14T00:00:00"/>
        <d v="2024-07-17T00:00:00"/>
        <d v="2024-07-18T00:00:00"/>
        <d v="2024-07-19T00:00:00"/>
        <d v="2024-07-20T00:00:00"/>
        <d v="2024-07-21T00:00:00"/>
        <d v="2024-07-22T00:00:00"/>
        <d v="2024-07-24T00:00:00"/>
        <d v="2024-07-25T00:00:00"/>
      </sharedItems>
    </cacheField>
    <cacheField name="Store ID" numFmtId="0">
      <sharedItems containsSemiMixedTypes="0" containsString="0" containsNumber="1" containsInteger="1" minValue="101" maxValue="104"/>
    </cacheField>
    <cacheField name="Product" numFmtId="0">
      <sharedItems/>
    </cacheField>
    <cacheField name="Category" numFmtId="0">
      <sharedItems count="3">
        <s v="Apparel"/>
        <s v="Electronics"/>
        <s v="Fitness"/>
      </sharedItems>
    </cacheField>
    <cacheField name="Units Sold" numFmtId="0">
      <sharedItems containsSemiMixedTypes="0" containsString="0" containsNumber="1" containsInteger="1" minValue="1" maxValue="15"/>
    </cacheField>
    <cacheField name="Unit Price" numFmtId="0">
      <sharedItems containsSemiMixedTypes="0" containsString="0" containsNumber="1" containsInteger="1" minValue="299" maxValue="4999"/>
    </cacheField>
    <cacheField name="Revenue" numFmtId="0">
      <sharedItems containsSemiMixedTypes="0" containsString="0" containsNumber="1" containsInteger="1" minValue="499" maxValue="64987"/>
    </cacheField>
    <cacheField name="Region" numFmtId="0">
      <sharedItems count="4">
        <s v="East Zone"/>
        <s v="North Zone"/>
        <s v="South Zone"/>
        <s v="West Zone"/>
      </sharedItems>
    </cacheField>
    <cacheField name="Payment Type" numFmtId="0">
      <sharedItems count="4">
        <s v="Debit Card"/>
        <s v="Upi"/>
        <s v="Credit Card"/>
        <s v="Cash"/>
      </sharedItems>
    </cacheField>
    <cacheField name="Return (Y/N)" numFmtId="0">
      <sharedItems count="2">
        <s v="N"/>
        <s v="Y"/>
      </sharedItems>
    </cacheField>
  </cacheFields>
  <extLst>
    <ext xmlns:x14="http://schemas.microsoft.com/office/spreadsheetml/2009/9/main" uri="{725AE2AE-9491-48be-B2B4-4EB974FC3084}">
      <x14:pivotCacheDefinition pivotCacheId="1132052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101"/>
    <s v="T-Shirt"/>
    <x v="0"/>
    <n v="12"/>
    <n v="499"/>
    <n v="5988"/>
    <x v="0"/>
    <x v="0"/>
    <x v="0"/>
  </r>
  <r>
    <x v="1"/>
    <n v="102"/>
    <s v="Earphones"/>
    <x v="1"/>
    <n v="11"/>
    <n v="899"/>
    <n v="9889"/>
    <x v="1"/>
    <x v="1"/>
    <x v="0"/>
  </r>
  <r>
    <x v="1"/>
    <n v="101"/>
    <s v="Earphones"/>
    <x v="1"/>
    <n v="4"/>
    <n v="899"/>
    <n v="3596"/>
    <x v="2"/>
    <x v="2"/>
    <x v="0"/>
  </r>
  <r>
    <x v="1"/>
    <n v="102"/>
    <s v="Resistance Band"/>
    <x v="2"/>
    <n v="4"/>
    <n v="499"/>
    <n v="1996"/>
    <x v="3"/>
    <x v="3"/>
    <x v="0"/>
  </r>
  <r>
    <x v="2"/>
    <n v="102"/>
    <s v="Resistance Band"/>
    <x v="2"/>
    <n v="6"/>
    <n v="499"/>
    <n v="2994"/>
    <x v="0"/>
    <x v="0"/>
    <x v="0"/>
  </r>
  <r>
    <x v="2"/>
    <n v="103"/>
    <s v="Earphones"/>
    <x v="1"/>
    <n v="2"/>
    <n v="899"/>
    <n v="1798"/>
    <x v="3"/>
    <x v="2"/>
    <x v="0"/>
  </r>
  <r>
    <x v="2"/>
    <n v="103"/>
    <s v="Smartwatch"/>
    <x v="1"/>
    <n v="13"/>
    <n v="4999"/>
    <n v="64987"/>
    <x v="1"/>
    <x v="1"/>
    <x v="1"/>
  </r>
  <r>
    <x v="2"/>
    <n v="101"/>
    <s v="Resistance Band"/>
    <x v="2"/>
    <n v="2"/>
    <n v="499"/>
    <n v="998"/>
    <x v="0"/>
    <x v="3"/>
    <x v="0"/>
  </r>
  <r>
    <x v="3"/>
    <n v="102"/>
    <s v="Earphones"/>
    <x v="1"/>
    <n v="1"/>
    <n v="899"/>
    <n v="899"/>
    <x v="2"/>
    <x v="3"/>
    <x v="0"/>
  </r>
  <r>
    <x v="4"/>
    <n v="102"/>
    <s v="Earphones"/>
    <x v="1"/>
    <n v="7"/>
    <n v="899"/>
    <n v="6293"/>
    <x v="0"/>
    <x v="1"/>
    <x v="0"/>
  </r>
  <r>
    <x v="5"/>
    <n v="103"/>
    <s v="Yoga Mat"/>
    <x v="2"/>
    <n v="6"/>
    <n v="1299"/>
    <n v="7794"/>
    <x v="0"/>
    <x v="0"/>
    <x v="1"/>
  </r>
  <r>
    <x v="6"/>
    <n v="103"/>
    <s v="Earphones"/>
    <x v="1"/>
    <n v="10"/>
    <n v="899"/>
    <n v="8990"/>
    <x v="2"/>
    <x v="0"/>
    <x v="0"/>
  </r>
  <r>
    <x v="6"/>
    <n v="104"/>
    <s v="Resistance Band"/>
    <x v="2"/>
    <n v="5"/>
    <n v="499"/>
    <n v="2495"/>
    <x v="2"/>
    <x v="3"/>
    <x v="0"/>
  </r>
  <r>
    <x v="6"/>
    <n v="101"/>
    <s v="Water Bottle"/>
    <x v="2"/>
    <n v="14"/>
    <n v="299"/>
    <n v="4186"/>
    <x v="1"/>
    <x v="3"/>
    <x v="0"/>
  </r>
  <r>
    <x v="6"/>
    <n v="103"/>
    <s v="Earphones"/>
    <x v="1"/>
    <n v="4"/>
    <n v="899"/>
    <n v="3596"/>
    <x v="0"/>
    <x v="0"/>
    <x v="0"/>
  </r>
  <r>
    <x v="7"/>
    <n v="104"/>
    <s v="Resistance Band"/>
    <x v="2"/>
    <n v="15"/>
    <n v="499"/>
    <n v="7485"/>
    <x v="3"/>
    <x v="0"/>
    <x v="0"/>
  </r>
  <r>
    <x v="8"/>
    <n v="102"/>
    <s v="Water Bottle"/>
    <x v="2"/>
    <n v="12"/>
    <n v="299"/>
    <n v="3588"/>
    <x v="0"/>
    <x v="1"/>
    <x v="0"/>
  </r>
  <r>
    <x v="8"/>
    <n v="104"/>
    <s v="Sneakers"/>
    <x v="0"/>
    <n v="4"/>
    <n v="1999"/>
    <n v="7996"/>
    <x v="2"/>
    <x v="1"/>
    <x v="0"/>
  </r>
  <r>
    <x v="8"/>
    <n v="101"/>
    <s v="Earphones"/>
    <x v="1"/>
    <n v="3"/>
    <n v="899"/>
    <n v="2697"/>
    <x v="2"/>
    <x v="1"/>
    <x v="0"/>
  </r>
  <r>
    <x v="9"/>
    <n v="101"/>
    <s v="Resistance Band"/>
    <x v="2"/>
    <n v="7"/>
    <n v="499"/>
    <n v="3493"/>
    <x v="3"/>
    <x v="3"/>
    <x v="0"/>
  </r>
  <r>
    <x v="10"/>
    <n v="101"/>
    <s v="Earphones"/>
    <x v="1"/>
    <n v="11"/>
    <n v="899"/>
    <n v="9889"/>
    <x v="0"/>
    <x v="3"/>
    <x v="0"/>
  </r>
  <r>
    <x v="10"/>
    <n v="103"/>
    <s v="Resistance Band"/>
    <x v="2"/>
    <n v="3"/>
    <n v="499"/>
    <n v="1497"/>
    <x v="3"/>
    <x v="2"/>
    <x v="1"/>
  </r>
  <r>
    <x v="11"/>
    <n v="103"/>
    <s v="Yoga Mat"/>
    <x v="2"/>
    <n v="9"/>
    <n v="1299"/>
    <n v="11691"/>
    <x v="1"/>
    <x v="3"/>
    <x v="0"/>
  </r>
  <r>
    <x v="12"/>
    <n v="102"/>
    <s v="Yoga Mat"/>
    <x v="2"/>
    <n v="6"/>
    <n v="1299"/>
    <n v="7794"/>
    <x v="2"/>
    <x v="2"/>
    <x v="0"/>
  </r>
  <r>
    <x v="12"/>
    <n v="103"/>
    <s v="Bluetooth Speaker"/>
    <x v="1"/>
    <n v="1"/>
    <n v="1499"/>
    <n v="1499"/>
    <x v="1"/>
    <x v="3"/>
    <x v="0"/>
  </r>
  <r>
    <x v="12"/>
    <n v="102"/>
    <s v="T-Shirt"/>
    <x v="0"/>
    <n v="4"/>
    <n v="499"/>
    <n v="1996"/>
    <x v="1"/>
    <x v="2"/>
    <x v="0"/>
  </r>
  <r>
    <x v="13"/>
    <n v="104"/>
    <s v="Earphones"/>
    <x v="1"/>
    <n v="13"/>
    <n v="899"/>
    <n v="11687"/>
    <x v="2"/>
    <x v="0"/>
    <x v="0"/>
  </r>
  <r>
    <x v="13"/>
    <n v="104"/>
    <s v="Yoga Mat"/>
    <x v="2"/>
    <n v="5"/>
    <n v="1299"/>
    <n v="6495"/>
    <x v="3"/>
    <x v="0"/>
    <x v="0"/>
  </r>
  <r>
    <x v="14"/>
    <n v="102"/>
    <s v="Smartwatch"/>
    <x v="1"/>
    <n v="7"/>
    <n v="4999"/>
    <n v="34993"/>
    <x v="0"/>
    <x v="1"/>
    <x v="0"/>
  </r>
  <r>
    <x v="15"/>
    <n v="104"/>
    <s v="Earphones"/>
    <x v="1"/>
    <n v="4"/>
    <n v="899"/>
    <n v="3596"/>
    <x v="2"/>
    <x v="2"/>
    <x v="1"/>
  </r>
  <r>
    <x v="15"/>
    <n v="101"/>
    <s v="Water Bottle"/>
    <x v="2"/>
    <n v="10"/>
    <n v="299"/>
    <n v="2990"/>
    <x v="2"/>
    <x v="2"/>
    <x v="0"/>
  </r>
  <r>
    <x v="15"/>
    <n v="101"/>
    <s v="Water Bottle"/>
    <x v="2"/>
    <n v="2"/>
    <n v="299"/>
    <n v="598"/>
    <x v="1"/>
    <x v="3"/>
    <x v="0"/>
  </r>
  <r>
    <x v="15"/>
    <n v="102"/>
    <s v="Smartwatch"/>
    <x v="1"/>
    <n v="11"/>
    <n v="4999"/>
    <n v="54989"/>
    <x v="3"/>
    <x v="0"/>
    <x v="1"/>
  </r>
  <r>
    <x v="15"/>
    <n v="102"/>
    <s v="Bluetooth Speaker"/>
    <x v="1"/>
    <n v="4"/>
    <n v="1499"/>
    <n v="5996"/>
    <x v="3"/>
    <x v="1"/>
    <x v="0"/>
  </r>
  <r>
    <x v="15"/>
    <n v="101"/>
    <s v="Earphones"/>
    <x v="1"/>
    <n v="11"/>
    <n v="899"/>
    <n v="9889"/>
    <x v="3"/>
    <x v="3"/>
    <x v="0"/>
  </r>
  <r>
    <x v="16"/>
    <n v="104"/>
    <s v="Bluetooth Speaker"/>
    <x v="1"/>
    <n v="14"/>
    <n v="1499"/>
    <n v="20986"/>
    <x v="1"/>
    <x v="2"/>
    <x v="0"/>
  </r>
  <r>
    <x v="16"/>
    <n v="104"/>
    <s v="Sneakers"/>
    <x v="0"/>
    <n v="13"/>
    <n v="1999"/>
    <n v="25987"/>
    <x v="1"/>
    <x v="0"/>
    <x v="0"/>
  </r>
  <r>
    <x v="17"/>
    <n v="102"/>
    <s v="Bluetooth Speaker"/>
    <x v="1"/>
    <n v="3"/>
    <n v="1499"/>
    <n v="4497"/>
    <x v="3"/>
    <x v="0"/>
    <x v="1"/>
  </r>
  <r>
    <x v="17"/>
    <n v="104"/>
    <s v="Water Bottle"/>
    <x v="2"/>
    <n v="14"/>
    <n v="299"/>
    <n v="4186"/>
    <x v="1"/>
    <x v="1"/>
    <x v="0"/>
  </r>
  <r>
    <x v="18"/>
    <n v="101"/>
    <s v="T-Shirt"/>
    <x v="0"/>
    <n v="11"/>
    <n v="499"/>
    <n v="5489"/>
    <x v="1"/>
    <x v="2"/>
    <x v="0"/>
  </r>
  <r>
    <x v="18"/>
    <n v="102"/>
    <s v="Yoga Mat"/>
    <x v="2"/>
    <n v="7"/>
    <n v="1299"/>
    <n v="9093"/>
    <x v="3"/>
    <x v="1"/>
    <x v="1"/>
  </r>
  <r>
    <x v="18"/>
    <n v="104"/>
    <s v="T-Shirt"/>
    <x v="0"/>
    <n v="3"/>
    <n v="499"/>
    <n v="1497"/>
    <x v="3"/>
    <x v="2"/>
    <x v="0"/>
  </r>
  <r>
    <x v="18"/>
    <n v="103"/>
    <s v="Bluetooth Speaker"/>
    <x v="1"/>
    <n v="5"/>
    <n v="1499"/>
    <n v="7495"/>
    <x v="3"/>
    <x v="1"/>
    <x v="1"/>
  </r>
  <r>
    <x v="19"/>
    <n v="102"/>
    <s v="Smartwatch"/>
    <x v="1"/>
    <n v="4"/>
    <n v="4999"/>
    <n v="19996"/>
    <x v="1"/>
    <x v="2"/>
    <x v="0"/>
  </r>
  <r>
    <x v="19"/>
    <n v="103"/>
    <s v="T-Shirt"/>
    <x v="0"/>
    <n v="1"/>
    <n v="499"/>
    <n v="499"/>
    <x v="3"/>
    <x v="0"/>
    <x v="0"/>
  </r>
  <r>
    <x v="20"/>
    <n v="101"/>
    <s v="Yoga Mat"/>
    <x v="2"/>
    <n v="2"/>
    <n v="1299"/>
    <n v="2598"/>
    <x v="1"/>
    <x v="0"/>
    <x v="0"/>
  </r>
  <r>
    <x v="20"/>
    <n v="101"/>
    <s v="Water Bottle"/>
    <x v="2"/>
    <n v="10"/>
    <n v="299"/>
    <n v="2990"/>
    <x v="1"/>
    <x v="2"/>
    <x v="0"/>
  </r>
  <r>
    <x v="20"/>
    <n v="103"/>
    <s v="Smartwatch"/>
    <x v="1"/>
    <n v="4"/>
    <n v="4999"/>
    <n v="19996"/>
    <x v="0"/>
    <x v="0"/>
    <x v="0"/>
  </r>
  <r>
    <x v="21"/>
    <n v="104"/>
    <s v="Yoga Mat"/>
    <x v="2"/>
    <n v="11"/>
    <n v="1299"/>
    <n v="14289"/>
    <x v="0"/>
    <x v="1"/>
    <x v="0"/>
  </r>
  <r>
    <x v="21"/>
    <n v="101"/>
    <s v="T-Shirt"/>
    <x v="0"/>
    <n v="8"/>
    <n v="499"/>
    <n v="3992"/>
    <x v="1"/>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9A270B-B4C6-44B7-B207-5BBA763AAB8A}"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K14:L18" firstHeaderRow="1" firstDataRow="1" firstDataCol="1"/>
  <pivotFields count="10">
    <pivotField numFmtId="14" showAll="0">
      <items count="23">
        <item x="0"/>
        <item x="1"/>
        <item x="2"/>
        <item x="3"/>
        <item x="4"/>
        <item x="5"/>
        <item x="6"/>
        <item x="7"/>
        <item x="8"/>
        <item x="9"/>
        <item x="10"/>
        <item x="11"/>
        <item x="12"/>
        <item x="13"/>
        <item x="14"/>
        <item x="15"/>
        <item x="16"/>
        <item x="17"/>
        <item x="18"/>
        <item x="19"/>
        <item x="20"/>
        <item x="21"/>
        <item t="default"/>
      </items>
    </pivotField>
    <pivotField showAll="0"/>
    <pivotField showAll="0"/>
    <pivotField showAll="0">
      <items count="4">
        <item x="0"/>
        <item x="1"/>
        <item x="2"/>
        <item t="default"/>
      </items>
    </pivotField>
    <pivotField showAll="0"/>
    <pivotField showAll="0"/>
    <pivotField dataField="1" showAll="0"/>
    <pivotField showAll="0">
      <items count="5">
        <item x="0"/>
        <item x="1"/>
        <item x="2"/>
        <item x="3"/>
        <item t="default"/>
      </items>
    </pivotField>
    <pivotField axis="axisRow" showAll="0">
      <items count="5">
        <item x="3"/>
        <item x="2"/>
        <item x="0"/>
        <item x="1"/>
        <item t="default"/>
      </items>
    </pivotField>
    <pivotField showAll="0"/>
  </pivotFields>
  <rowFields count="1">
    <field x="8"/>
  </rowFields>
  <rowItems count="4">
    <i>
      <x/>
    </i>
    <i>
      <x v="1"/>
    </i>
    <i>
      <x v="2"/>
    </i>
    <i>
      <x v="3"/>
    </i>
  </rowItems>
  <colItems count="1">
    <i/>
  </colItems>
  <dataFields count="1">
    <dataField name="Sum of Revenue" fld="6" baseField="0" baseItem="0" numFmtId="164"/>
  </dataFields>
  <formats count="1">
    <format dxfId="10">
      <pivotArea outline="0" collapsedLevelsAreSubtotals="1" fieldPosition="0"/>
    </format>
  </formats>
  <chartFormats count="7">
    <chartFormat chart="20" format="4" series="1">
      <pivotArea type="data" outline="0" fieldPosition="0">
        <references count="1">
          <reference field="4294967294" count="1" selected="0">
            <x v="0"/>
          </reference>
        </references>
      </pivotArea>
    </chartFormat>
    <chartFormat chart="24" format="9"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0"/>
          </reference>
        </references>
      </pivotArea>
    </chartFormat>
    <chartFormat chart="34" format="8">
      <pivotArea type="data" outline="0" fieldPosition="0">
        <references count="2">
          <reference field="4294967294" count="1" selected="0">
            <x v="0"/>
          </reference>
          <reference field="8" count="1" selected="0">
            <x v="0"/>
          </reference>
        </references>
      </pivotArea>
    </chartFormat>
    <chartFormat chart="34" format="9">
      <pivotArea type="data" outline="0" fieldPosition="0">
        <references count="2">
          <reference field="4294967294" count="1" selected="0">
            <x v="0"/>
          </reference>
          <reference field="8" count="1" selected="0">
            <x v="1"/>
          </reference>
        </references>
      </pivotArea>
    </chartFormat>
    <chartFormat chart="34" format="10">
      <pivotArea type="data" outline="0" fieldPosition="0">
        <references count="2">
          <reference field="4294967294" count="1" selected="0">
            <x v="0"/>
          </reference>
          <reference field="8" count="1" selected="0">
            <x v="2"/>
          </reference>
        </references>
      </pivotArea>
    </chartFormat>
    <chartFormat chart="34" format="1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B60E8D-4C13-483E-946D-650E24FD7114}"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H15:I19" firstHeaderRow="1" firstDataRow="1" firstDataCol="1"/>
  <pivotFields count="10">
    <pivotField numFmtId="14" showAll="0">
      <items count="23">
        <item x="0"/>
        <item x="1"/>
        <item x="2"/>
        <item x="3"/>
        <item x="4"/>
        <item x="5"/>
        <item x="6"/>
        <item x="7"/>
        <item x="8"/>
        <item x="9"/>
        <item x="10"/>
        <item x="11"/>
        <item x="12"/>
        <item x="13"/>
        <item x="14"/>
        <item x="15"/>
        <item x="16"/>
        <item x="17"/>
        <item x="18"/>
        <item x="19"/>
        <item x="20"/>
        <item x="21"/>
        <item t="default"/>
      </items>
    </pivotField>
    <pivotField showAll="0"/>
    <pivotField showAll="0"/>
    <pivotField showAll="0">
      <items count="4">
        <item x="0"/>
        <item x="1"/>
        <item x="2"/>
        <item t="default"/>
      </items>
    </pivotField>
    <pivotField showAll="0"/>
    <pivotField showAll="0"/>
    <pivotField dataField="1" showAll="0"/>
    <pivotField axis="axisRow" showAll="0">
      <items count="5">
        <item x="0"/>
        <item x="1"/>
        <item x="2"/>
        <item x="3"/>
        <item t="default"/>
      </items>
    </pivotField>
    <pivotField showAll="0"/>
    <pivotField showAll="0"/>
  </pivotFields>
  <rowFields count="1">
    <field x="7"/>
  </rowFields>
  <rowItems count="4">
    <i>
      <x/>
    </i>
    <i>
      <x v="1"/>
    </i>
    <i>
      <x v="2"/>
    </i>
    <i>
      <x v="3"/>
    </i>
  </rowItems>
  <colItems count="1">
    <i/>
  </colItems>
  <dataFields count="1">
    <dataField name="Sum of Revenue" fld="6" baseField="0" baseItem="0" numFmtId="164"/>
  </dataFields>
  <formats count="1">
    <format dxfId="11">
      <pivotArea outline="0" collapsedLevelsAreSubtotals="1" fieldPosition="0"/>
    </format>
  </formats>
  <chartFormats count="10">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7" count="1" selected="0">
            <x v="0"/>
          </reference>
        </references>
      </pivotArea>
    </chartFormat>
    <chartFormat chart="20" format="6">
      <pivotArea type="data" outline="0" fieldPosition="0">
        <references count="2">
          <reference field="4294967294" count="1" selected="0">
            <x v="0"/>
          </reference>
          <reference field="7" count="1" selected="0">
            <x v="1"/>
          </reference>
        </references>
      </pivotArea>
    </chartFormat>
    <chartFormat chart="20" format="7">
      <pivotArea type="data" outline="0" fieldPosition="0">
        <references count="2">
          <reference field="4294967294" count="1" selected="0">
            <x v="0"/>
          </reference>
          <reference field="7" count="1" selected="0">
            <x v="2"/>
          </reference>
        </references>
      </pivotArea>
    </chartFormat>
    <chartFormat chart="20" format="8">
      <pivotArea type="data" outline="0" fieldPosition="0">
        <references count="2">
          <reference field="4294967294" count="1" selected="0">
            <x v="0"/>
          </reference>
          <reference field="7" count="1" selected="0">
            <x v="3"/>
          </reference>
        </references>
      </pivotArea>
    </chartFormat>
    <chartFormat chart="24" format="9" series="1">
      <pivotArea type="data" outline="0" fieldPosition="0">
        <references count="1">
          <reference field="4294967294" count="1" selected="0">
            <x v="0"/>
          </reference>
        </references>
      </pivotArea>
    </chartFormat>
    <chartFormat chart="24" format="10">
      <pivotArea type="data" outline="0" fieldPosition="0">
        <references count="2">
          <reference field="4294967294" count="1" selected="0">
            <x v="0"/>
          </reference>
          <reference field="7" count="1" selected="0">
            <x v="0"/>
          </reference>
        </references>
      </pivotArea>
    </chartFormat>
    <chartFormat chart="24" format="11">
      <pivotArea type="data" outline="0" fieldPosition="0">
        <references count="2">
          <reference field="4294967294" count="1" selected="0">
            <x v="0"/>
          </reference>
          <reference field="7" count="1" selected="0">
            <x v="1"/>
          </reference>
        </references>
      </pivotArea>
    </chartFormat>
    <chartFormat chart="24" format="12">
      <pivotArea type="data" outline="0" fieldPosition="0">
        <references count="2">
          <reference field="4294967294" count="1" selected="0">
            <x v="0"/>
          </reference>
          <reference field="7" count="1" selected="0">
            <x v="2"/>
          </reference>
        </references>
      </pivotArea>
    </chartFormat>
    <chartFormat chart="24" format="13">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56E491-D448-4F20-ACEB-3F62BEEFB715}"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I4:L9" firstHeaderRow="1" firstDataRow="2" firstDataCol="1"/>
  <pivotFields count="10">
    <pivotField numFmtId="14" showAll="0">
      <items count="23">
        <item x="0"/>
        <item x="1"/>
        <item x="2"/>
        <item x="3"/>
        <item x="4"/>
        <item x="5"/>
        <item x="6"/>
        <item x="7"/>
        <item x="8"/>
        <item x="9"/>
        <item x="10"/>
        <item x="11"/>
        <item x="12"/>
        <item x="13"/>
        <item x="14"/>
        <item x="15"/>
        <item x="16"/>
        <item x="17"/>
        <item x="18"/>
        <item x="19"/>
        <item x="20"/>
        <item x="21"/>
        <item t="default"/>
      </items>
    </pivotField>
    <pivotField showAll="0"/>
    <pivotField showAll="0"/>
    <pivotField axis="axisCol" showAll="0">
      <items count="4">
        <item x="0"/>
        <item x="1"/>
        <item x="2"/>
        <item t="default"/>
      </items>
    </pivotField>
    <pivotField dataField="1" showAll="0"/>
    <pivotField showAll="0"/>
    <pivotField showAll="0"/>
    <pivotField axis="axisRow" showAll="0">
      <items count="5">
        <item x="0"/>
        <item x="1"/>
        <item x="2"/>
        <item x="3"/>
        <item t="default"/>
      </items>
    </pivotField>
    <pivotField showAll="0"/>
    <pivotField showAll="0"/>
  </pivotFields>
  <rowFields count="1">
    <field x="7"/>
  </rowFields>
  <rowItems count="4">
    <i>
      <x/>
    </i>
    <i>
      <x v="1"/>
    </i>
    <i>
      <x v="2"/>
    </i>
    <i>
      <x v="3"/>
    </i>
  </rowItems>
  <colFields count="1">
    <field x="3"/>
  </colFields>
  <colItems count="3">
    <i>
      <x/>
    </i>
    <i>
      <x v="1"/>
    </i>
    <i>
      <x v="2"/>
    </i>
  </colItems>
  <dataFields count="1">
    <dataField name="Sum of Units Sold" fld="4" baseField="0" baseItem="0"/>
  </dataFields>
  <chartFormats count="9">
    <chartFormat chart="9" format="0" series="1">
      <pivotArea type="data" outline="0" fieldPosition="0">
        <references count="2">
          <reference field="4294967294" count="1" selected="0">
            <x v="0"/>
          </reference>
          <reference field="3" count="1" selected="0">
            <x v="0"/>
          </reference>
        </references>
      </pivotArea>
    </chartFormat>
    <chartFormat chart="9" format="1" series="1">
      <pivotArea type="data" outline="0" fieldPosition="0">
        <references count="2">
          <reference field="4294967294" count="1" selected="0">
            <x v="0"/>
          </reference>
          <reference field="3" count="1" selected="0">
            <x v="1"/>
          </reference>
        </references>
      </pivotArea>
    </chartFormat>
    <chartFormat chart="9" format="2" series="1">
      <pivotArea type="data" outline="0" fieldPosition="0">
        <references count="2">
          <reference field="4294967294" count="1" selected="0">
            <x v="0"/>
          </reference>
          <reference field="3" count="1" selected="0">
            <x v="2"/>
          </reference>
        </references>
      </pivotArea>
    </chartFormat>
    <chartFormat chart="10" format="3" series="1">
      <pivotArea type="data" outline="0" fieldPosition="0">
        <references count="2">
          <reference field="4294967294" count="1" selected="0">
            <x v="0"/>
          </reference>
          <reference field="3" count="1" selected="0">
            <x v="0"/>
          </reference>
        </references>
      </pivotArea>
    </chartFormat>
    <chartFormat chart="10" format="4" series="1">
      <pivotArea type="data" outline="0" fieldPosition="0">
        <references count="2">
          <reference field="4294967294" count="1" selected="0">
            <x v="0"/>
          </reference>
          <reference field="3" count="1" selected="0">
            <x v="1"/>
          </reference>
        </references>
      </pivotArea>
    </chartFormat>
    <chartFormat chart="10" format="5" series="1">
      <pivotArea type="data" outline="0" fieldPosition="0">
        <references count="2">
          <reference field="4294967294" count="1" selected="0">
            <x v="0"/>
          </reference>
          <reference field="3" count="1" selected="0">
            <x v="2"/>
          </reference>
        </references>
      </pivotArea>
    </chartFormat>
    <chartFormat chart="14" format="6" series="1">
      <pivotArea type="data" outline="0" fieldPosition="0">
        <references count="2">
          <reference field="4294967294" count="1" selected="0">
            <x v="0"/>
          </reference>
          <reference field="3" count="1" selected="0">
            <x v="0"/>
          </reference>
        </references>
      </pivotArea>
    </chartFormat>
    <chartFormat chart="14" format="7" series="1">
      <pivotArea type="data" outline="0" fieldPosition="0">
        <references count="2">
          <reference field="4294967294" count="1" selected="0">
            <x v="0"/>
          </reference>
          <reference field="3" count="1" selected="0">
            <x v="1"/>
          </reference>
        </references>
      </pivotArea>
    </chartFormat>
    <chartFormat chart="14"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348E16-5631-48BD-8B5F-A1F02F23C275}"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3:E26" firstHeaderRow="1" firstDataRow="2" firstDataCol="1"/>
  <pivotFields count="10">
    <pivotField axis="axisRow" numFmtId="14" showAll="0">
      <items count="23">
        <item x="0"/>
        <item x="1"/>
        <item x="2"/>
        <item x="3"/>
        <item x="4"/>
        <item x="5"/>
        <item x="6"/>
        <item x="7"/>
        <item x="8"/>
        <item x="9"/>
        <item x="10"/>
        <item x="11"/>
        <item x="12"/>
        <item x="13"/>
        <item x="14"/>
        <item x="15"/>
        <item x="16"/>
        <item x="17"/>
        <item x="18"/>
        <item x="19"/>
        <item x="20"/>
        <item x="21"/>
        <item t="default"/>
      </items>
    </pivotField>
    <pivotField showAll="0"/>
    <pivotField showAll="0"/>
    <pivotField showAll="0"/>
    <pivotField showAll="0"/>
    <pivotField showAll="0"/>
    <pivotField dataField="1" showAll="0"/>
    <pivotField axis="axisCol" showAll="0">
      <items count="5">
        <item x="0"/>
        <item x="1"/>
        <item x="2"/>
        <item x="3"/>
        <item t="default"/>
      </items>
    </pivotField>
    <pivotField showAll="0"/>
    <pivotField showAll="0"/>
  </pivotFields>
  <rowFields count="1">
    <field x="0"/>
  </rowFields>
  <rowItems count="22">
    <i>
      <x/>
    </i>
    <i>
      <x v="1"/>
    </i>
    <i>
      <x v="2"/>
    </i>
    <i>
      <x v="3"/>
    </i>
    <i>
      <x v="4"/>
    </i>
    <i>
      <x v="5"/>
    </i>
    <i>
      <x v="6"/>
    </i>
    <i>
      <x v="7"/>
    </i>
    <i>
      <x v="8"/>
    </i>
    <i>
      <x v="9"/>
    </i>
    <i>
      <x v="10"/>
    </i>
    <i>
      <x v="11"/>
    </i>
    <i>
      <x v="12"/>
    </i>
    <i>
      <x v="13"/>
    </i>
    <i>
      <x v="14"/>
    </i>
    <i>
      <x v="15"/>
    </i>
    <i>
      <x v="16"/>
    </i>
    <i>
      <x v="17"/>
    </i>
    <i>
      <x v="18"/>
    </i>
    <i>
      <x v="19"/>
    </i>
    <i>
      <x v="20"/>
    </i>
    <i>
      <x v="21"/>
    </i>
  </rowItems>
  <colFields count="1">
    <field x="7"/>
  </colFields>
  <colItems count="4">
    <i>
      <x/>
    </i>
    <i>
      <x v="1"/>
    </i>
    <i>
      <x v="2"/>
    </i>
    <i>
      <x v="3"/>
    </i>
  </colItems>
  <dataFields count="1">
    <dataField name="Sum of Revenue" fld="6" baseField="0" baseItem="0"/>
  </dataFields>
  <formats count="1">
    <format dxfId="14">
      <pivotArea dataOnly="0" labelOnly="1" fieldPosition="0">
        <references count="1">
          <reference field="0" count="0"/>
        </references>
      </pivotArea>
    </format>
  </formats>
  <chartFormats count="9">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8" format="8" series="1">
      <pivotArea type="data" outline="0" fieldPosition="0">
        <references count="2">
          <reference field="4294967294" count="1" selected="0">
            <x v="0"/>
          </reference>
          <reference field="7" count="1" selected="0">
            <x v="0"/>
          </reference>
        </references>
      </pivotArea>
    </chartFormat>
    <chartFormat chart="8" format="9" series="1">
      <pivotArea type="data" outline="0" fieldPosition="0">
        <references count="2">
          <reference field="4294967294" count="1" selected="0">
            <x v="0"/>
          </reference>
          <reference field="7" count="1" selected="0">
            <x v="1"/>
          </reference>
        </references>
      </pivotArea>
    </chartFormat>
    <chartFormat chart="8" format="10" series="1">
      <pivotArea type="data" outline="0" fieldPosition="0">
        <references count="2">
          <reference field="4294967294" count="1" selected="0">
            <x v="0"/>
          </reference>
          <reference field="7" count="1" selected="0">
            <x v="2"/>
          </reference>
        </references>
      </pivotArea>
    </chartFormat>
    <chartFormat chart="8" format="11" series="1">
      <pivotArea type="data" outline="0" fieldPosition="0">
        <references count="2">
          <reference field="4294967294" count="1" selected="0">
            <x v="0"/>
          </reference>
          <reference field="7" count="1" selected="0">
            <x v="3"/>
          </reference>
        </references>
      </pivotArea>
    </chartFormat>
    <chartFormat chart="8"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C3F738-9D13-40F4-A181-0EE53DBE26CE}"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rowPageCount="1" colPageCount="1"/>
  <pivotFields count="10">
    <pivotField numFmtId="14" showAll="0"/>
    <pivotField showAll="0"/>
    <pivotField showAll="0"/>
    <pivotField showAll="0"/>
    <pivotField showAll="0"/>
    <pivotField showAll="0"/>
    <pivotField showAll="0"/>
    <pivotField showAll="0">
      <items count="5">
        <item x="0"/>
        <item x="1"/>
        <item x="2"/>
        <item x="3"/>
        <item t="default"/>
      </items>
    </pivotField>
    <pivotField showAll="0"/>
    <pivotField axis="axisPage" dataField="1" showAll="0">
      <items count="3">
        <item x="0"/>
        <item x="1"/>
        <item t="default"/>
      </items>
    </pivotField>
  </pivotFields>
  <rowItems count="1">
    <i/>
  </rowItems>
  <colItems count="1">
    <i/>
  </colItems>
  <pageFields count="1">
    <pageField fld="9" item="1" hier="-1"/>
  </pageFields>
  <dataFields count="1">
    <dataField name="Count of Return (Y/N)"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1703B1-03C8-4C1F-97FD-AFC80C8FE99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24" firstHeaderRow="1" firstDataRow="1" firstDataCol="1"/>
  <pivotFields count="10">
    <pivotField numFmtId="14" showAll="0"/>
    <pivotField showAll="0"/>
    <pivotField showAll="0"/>
    <pivotField showAll="0"/>
    <pivotField showAll="0"/>
    <pivotField showAll="0"/>
    <pivotField dataField="1" showAll="0"/>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s>
  <rowFields count="1">
    <field x="7"/>
  </rowFields>
  <rowItems count="5">
    <i>
      <x v="1"/>
    </i>
    <i>
      <x v="3"/>
    </i>
    <i>
      <x/>
    </i>
    <i>
      <x v="2"/>
    </i>
    <i t="grand">
      <x/>
    </i>
  </rowItems>
  <colItems count="1">
    <i/>
  </colItems>
  <dataFields count="1">
    <dataField name="Sum of Revenue" fld="6" baseField="0" baseItem="0"/>
  </dataFields>
  <formats count="1">
    <format dxfId="12">
      <pivotArea collapsedLevelsAreSubtotals="1" fieldPosition="0">
        <references count="1">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F177443-CFF9-4425-9B97-8B7088823F9C}" sourceName="Category">
  <pivotTables>
    <pivotTable tabId="4" name="PivotTable4"/>
  </pivotTables>
  <data>
    <tabular pivotCacheId="1132052208">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A788618-87A2-4809-9C04-10EF407247CE}" sourceName="Region">
  <pivotTables>
    <pivotTable tabId="4" name="PivotTable4"/>
    <pivotTable tabId="4" name="PivotTable1"/>
    <pivotTable tabId="4" name="PivotTable2"/>
    <pivotTable tabId="4" name="PivotTable3"/>
    <pivotTable tabId="5" name="PivotTable2"/>
    <pivotTable tabId="5" name="PivotTable3"/>
  </pivotTables>
  <data>
    <tabular pivotCacheId="1132052208">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3649EFB-ACE1-42EC-AE93-828B23F55F4B}" cache="Slicer_Category" caption="Category" columnCount="3" style="SlicerStyleLight1 2" rowHeight="254000"/>
  <slicer name="Region" xr10:uid="{49968D86-FFE7-40F3-9FB8-27EF5703FE44}" cache="Slicer_Region" caption="Region" columnCount="4" style="SlicerStyleLight1 2"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AE5D1E-ADFC-4C1B-96AA-984B322E8E3B}" name="Table1" displayName="Table1" ref="A1:J51" totalsRowShown="0">
  <autoFilter ref="A1:J51" xr:uid="{77AE5D1E-ADFC-4C1B-96AA-984B322E8E3B}"/>
  <tableColumns count="10">
    <tableColumn id="1" xr3:uid="{AE73AED3-ECE0-420A-B8CB-681E42502FC4}" name="Date" dataDxfId="13"/>
    <tableColumn id="2" xr3:uid="{C84AA72F-30AB-4904-9D75-F0033267CD8A}" name="Store ID"/>
    <tableColumn id="3" xr3:uid="{BFDF502C-0A32-45E2-A9B8-CC586BE763FA}" name="Product"/>
    <tableColumn id="4" xr3:uid="{708D9460-CC71-418A-8AE3-1979DC937A1C}" name="Category"/>
    <tableColumn id="5" xr3:uid="{451CD3B9-8D88-40C4-83D1-60865E4358CA}" name="Units Sold"/>
    <tableColumn id="6" xr3:uid="{CB18D56C-28F5-4A80-BB9A-E9F8BD692C82}" name="Unit Price"/>
    <tableColumn id="7" xr3:uid="{E87FFE90-268D-482A-9F5A-E6A8FC1AE9A7}" name="Revenue"/>
    <tableColumn id="8" xr3:uid="{4F9FFDAD-2C77-4FE5-A248-6AAEAF152113}" name="Region"/>
    <tableColumn id="9" xr3:uid="{686DCD61-9FFF-46C5-8BF9-D1711E470A58}" name="Payment Type"/>
    <tableColumn id="10" xr3:uid="{AEAE12FB-8712-49DD-8926-1C3FD1DFB3F8}" name="Return (Y/N)"/>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549B7-DE53-4D1B-90AA-B26FCC22621E}">
  <dimension ref="A3:L26"/>
  <sheetViews>
    <sheetView workbookViewId="0">
      <selection activeCell="J5" sqref="J5:J9"/>
      <pivotSelection pane="bottomRight" showHeader="1" extendable="1" max="3" activeRow="4" activeCol="9" click="1" r:id="rId3">
        <pivotArea dataOnly="0" outline="0" axis="axisCol" fieldPosition="0">
          <references count="1">
            <reference field="3" count="1">
              <x v="0"/>
            </reference>
          </references>
        </pivotArea>
      </pivotSelection>
    </sheetView>
  </sheetViews>
  <sheetFormatPr defaultRowHeight="14.4" x14ac:dyDescent="0.55000000000000004"/>
  <cols>
    <col min="1" max="1" width="13.62890625" bestFit="1" customWidth="1"/>
    <col min="2" max="2" width="14.9453125" bestFit="1" customWidth="1"/>
    <col min="3" max="3" width="9.5234375" bestFit="1" customWidth="1"/>
    <col min="4" max="4" width="9.68359375" bestFit="1" customWidth="1"/>
    <col min="5" max="5" width="9.15625" bestFit="1" customWidth="1"/>
    <col min="6" max="6" width="9.9453125" bestFit="1" customWidth="1"/>
    <col min="8" max="8" width="12" bestFit="1" customWidth="1"/>
    <col min="9" max="9" width="13.62890625" bestFit="1" customWidth="1"/>
    <col min="10" max="10" width="14.9453125" bestFit="1" customWidth="1"/>
    <col min="11" max="11" width="12" bestFit="1" customWidth="1"/>
    <col min="12" max="12" width="13.62890625" bestFit="1" customWidth="1"/>
    <col min="13" max="13" width="9.15625" bestFit="1" customWidth="1"/>
  </cols>
  <sheetData>
    <row r="3" spans="1:12" x14ac:dyDescent="0.55000000000000004">
      <c r="A3" s="7" t="s">
        <v>37</v>
      </c>
      <c r="B3" s="7" t="s">
        <v>40</v>
      </c>
    </row>
    <row r="4" spans="1:12" x14ac:dyDescent="0.55000000000000004">
      <c r="A4" s="7" t="s">
        <v>35</v>
      </c>
      <c r="B4" t="s">
        <v>12</v>
      </c>
      <c r="C4" t="s">
        <v>17</v>
      </c>
      <c r="D4" t="s">
        <v>19</v>
      </c>
      <c r="E4" t="s">
        <v>23</v>
      </c>
      <c r="I4" s="7" t="s">
        <v>41</v>
      </c>
      <c r="J4" s="7" t="s">
        <v>40</v>
      </c>
    </row>
    <row r="5" spans="1:12" x14ac:dyDescent="0.55000000000000004">
      <c r="A5" s="14">
        <v>45474</v>
      </c>
      <c r="B5" s="15">
        <v>5988</v>
      </c>
      <c r="C5" s="15"/>
      <c r="D5" s="15"/>
      <c r="E5" s="15"/>
      <c r="I5" s="7" t="s">
        <v>35</v>
      </c>
      <c r="J5" t="s">
        <v>11</v>
      </c>
      <c r="K5" t="s">
        <v>16</v>
      </c>
      <c r="L5" t="s">
        <v>22</v>
      </c>
    </row>
    <row r="6" spans="1:12" x14ac:dyDescent="0.55000000000000004">
      <c r="A6" s="14">
        <v>45475</v>
      </c>
      <c r="B6" s="15"/>
      <c r="C6" s="15">
        <v>9889</v>
      </c>
      <c r="D6" s="15">
        <v>3596</v>
      </c>
      <c r="E6" s="15">
        <v>1996</v>
      </c>
      <c r="I6" s="10" t="s">
        <v>12</v>
      </c>
      <c r="J6" s="15">
        <v>12</v>
      </c>
      <c r="K6" s="15">
        <v>33</v>
      </c>
      <c r="L6" s="15">
        <v>37</v>
      </c>
    </row>
    <row r="7" spans="1:12" x14ac:dyDescent="0.55000000000000004">
      <c r="A7" s="14">
        <v>45476</v>
      </c>
      <c r="B7" s="15">
        <v>3992</v>
      </c>
      <c r="C7" s="15">
        <v>64987</v>
      </c>
      <c r="D7" s="15"/>
      <c r="E7" s="15">
        <v>1798</v>
      </c>
      <c r="I7" s="10" t="s">
        <v>17</v>
      </c>
      <c r="J7" s="15">
        <v>36</v>
      </c>
      <c r="K7" s="15">
        <v>43</v>
      </c>
      <c r="L7" s="15">
        <v>51</v>
      </c>
    </row>
    <row r="8" spans="1:12" x14ac:dyDescent="0.55000000000000004">
      <c r="A8" s="14">
        <v>45477</v>
      </c>
      <c r="B8" s="15"/>
      <c r="C8" s="15"/>
      <c r="D8" s="15">
        <v>899</v>
      </c>
      <c r="E8" s="15"/>
      <c r="I8" s="10" t="s">
        <v>19</v>
      </c>
      <c r="J8" s="15">
        <v>4</v>
      </c>
      <c r="K8" s="15">
        <v>35</v>
      </c>
      <c r="L8" s="15">
        <v>21</v>
      </c>
    </row>
    <row r="9" spans="1:12" x14ac:dyDescent="0.55000000000000004">
      <c r="A9" s="14">
        <v>45478</v>
      </c>
      <c r="B9" s="15">
        <v>6293</v>
      </c>
      <c r="C9" s="15"/>
      <c r="D9" s="15"/>
      <c r="E9" s="15"/>
      <c r="I9" s="10" t="s">
        <v>23</v>
      </c>
      <c r="J9" s="15">
        <v>4</v>
      </c>
      <c r="K9" s="15">
        <v>36</v>
      </c>
      <c r="L9" s="15">
        <v>41</v>
      </c>
    </row>
    <row r="10" spans="1:12" x14ac:dyDescent="0.55000000000000004">
      <c r="A10" s="14">
        <v>45479</v>
      </c>
      <c r="B10" s="15">
        <v>7794</v>
      </c>
      <c r="C10" s="15"/>
      <c r="D10" s="15"/>
      <c r="E10" s="15"/>
    </row>
    <row r="11" spans="1:12" x14ac:dyDescent="0.55000000000000004">
      <c r="A11" s="14">
        <v>45480</v>
      </c>
      <c r="B11" s="15">
        <v>3596</v>
      </c>
      <c r="C11" s="15">
        <v>4186</v>
      </c>
      <c r="D11" s="15">
        <v>11485</v>
      </c>
      <c r="E11" s="15"/>
    </row>
    <row r="12" spans="1:12" x14ac:dyDescent="0.55000000000000004">
      <c r="A12" s="14">
        <v>45481</v>
      </c>
      <c r="B12" s="15"/>
      <c r="C12" s="15"/>
      <c r="D12" s="15"/>
      <c r="E12" s="15">
        <v>7485</v>
      </c>
    </row>
    <row r="13" spans="1:12" x14ac:dyDescent="0.55000000000000004">
      <c r="A13" s="14">
        <v>45482</v>
      </c>
      <c r="B13" s="15">
        <v>3588</v>
      </c>
      <c r="C13" s="15"/>
      <c r="D13" s="15">
        <v>10693</v>
      </c>
      <c r="E13" s="15"/>
      <c r="K13" s="16" t="s">
        <v>43</v>
      </c>
    </row>
    <row r="14" spans="1:12" x14ac:dyDescent="0.55000000000000004">
      <c r="A14" s="14">
        <v>45483</v>
      </c>
      <c r="B14" s="15"/>
      <c r="C14" s="15"/>
      <c r="D14" s="15"/>
      <c r="E14" s="15">
        <v>3493</v>
      </c>
      <c r="H14" s="16" t="s">
        <v>42</v>
      </c>
      <c r="K14" s="7" t="s">
        <v>35</v>
      </c>
      <c r="L14" t="s">
        <v>37</v>
      </c>
    </row>
    <row r="15" spans="1:12" x14ac:dyDescent="0.55000000000000004">
      <c r="A15" s="14">
        <v>45484</v>
      </c>
      <c r="B15" s="15">
        <v>9889</v>
      </c>
      <c r="C15" s="15"/>
      <c r="D15" s="15"/>
      <c r="E15" s="15">
        <v>1497</v>
      </c>
      <c r="H15" s="7" t="s">
        <v>35</v>
      </c>
      <c r="I15" t="s">
        <v>37</v>
      </c>
      <c r="K15" s="10" t="s">
        <v>24</v>
      </c>
      <c r="L15" s="11">
        <v>47633</v>
      </c>
    </row>
    <row r="16" spans="1:12" x14ac:dyDescent="0.55000000000000004">
      <c r="A16" s="14">
        <v>45485</v>
      </c>
      <c r="B16" s="15"/>
      <c r="C16" s="15">
        <v>11691</v>
      </c>
      <c r="D16" s="15"/>
      <c r="E16" s="15"/>
      <c r="H16" s="10" t="s">
        <v>12</v>
      </c>
      <c r="I16" s="11">
        <v>110418</v>
      </c>
      <c r="K16" s="10" t="s">
        <v>20</v>
      </c>
      <c r="L16" s="11">
        <v>78217</v>
      </c>
    </row>
    <row r="17" spans="1:12" x14ac:dyDescent="0.55000000000000004">
      <c r="A17" s="14">
        <v>45486</v>
      </c>
      <c r="B17" s="15"/>
      <c r="C17" s="15">
        <v>3495</v>
      </c>
      <c r="D17" s="15">
        <v>7794</v>
      </c>
      <c r="E17" s="15"/>
      <c r="H17" s="10" t="s">
        <v>17</v>
      </c>
      <c r="I17" s="11">
        <v>181070</v>
      </c>
      <c r="K17" s="10" t="s">
        <v>13</v>
      </c>
      <c r="L17" s="11">
        <v>163595</v>
      </c>
    </row>
    <row r="18" spans="1:12" x14ac:dyDescent="0.55000000000000004">
      <c r="A18" s="14">
        <v>45487</v>
      </c>
      <c r="B18" s="15"/>
      <c r="C18" s="15"/>
      <c r="D18" s="15">
        <v>11687</v>
      </c>
      <c r="E18" s="15">
        <v>6495</v>
      </c>
      <c r="H18" s="10" t="s">
        <v>19</v>
      </c>
      <c r="I18" s="11">
        <v>52740</v>
      </c>
      <c r="K18" s="10" t="s">
        <v>18</v>
      </c>
      <c r="L18" s="11">
        <v>171502</v>
      </c>
    </row>
    <row r="19" spans="1:12" x14ac:dyDescent="0.55000000000000004">
      <c r="A19" s="14">
        <v>45490</v>
      </c>
      <c r="B19" s="15">
        <v>34993</v>
      </c>
      <c r="C19" s="15"/>
      <c r="D19" s="15"/>
      <c r="E19" s="15"/>
      <c r="H19" s="10" t="s">
        <v>23</v>
      </c>
      <c r="I19" s="11">
        <v>116719</v>
      </c>
    </row>
    <row r="20" spans="1:12" x14ac:dyDescent="0.55000000000000004">
      <c r="A20" s="14">
        <v>45491</v>
      </c>
      <c r="B20" s="15"/>
      <c r="C20" s="15">
        <v>598</v>
      </c>
      <c r="D20" s="15">
        <v>6586</v>
      </c>
      <c r="E20" s="15">
        <v>70874</v>
      </c>
    </row>
    <row r="21" spans="1:12" x14ac:dyDescent="0.55000000000000004">
      <c r="A21" s="14">
        <v>45492</v>
      </c>
      <c r="B21" s="15"/>
      <c r="C21" s="15">
        <v>46973</v>
      </c>
      <c r="D21" s="15"/>
      <c r="E21" s="15"/>
    </row>
    <row r="22" spans="1:12" x14ac:dyDescent="0.55000000000000004">
      <c r="A22" s="14">
        <v>45493</v>
      </c>
      <c r="B22" s="15"/>
      <c r="C22" s="15">
        <v>4186</v>
      </c>
      <c r="D22" s="15"/>
      <c r="E22" s="15">
        <v>4497</v>
      </c>
    </row>
    <row r="23" spans="1:12" x14ac:dyDescent="0.55000000000000004">
      <c r="A23" s="14">
        <v>45494</v>
      </c>
      <c r="B23" s="15"/>
      <c r="C23" s="15">
        <v>5489</v>
      </c>
      <c r="D23" s="15"/>
      <c r="E23" s="15">
        <v>18085</v>
      </c>
    </row>
    <row r="24" spans="1:12" x14ac:dyDescent="0.55000000000000004">
      <c r="A24" s="14">
        <v>45495</v>
      </c>
      <c r="B24" s="15"/>
      <c r="C24" s="15">
        <v>19996</v>
      </c>
      <c r="D24" s="15"/>
      <c r="E24" s="15">
        <v>499</v>
      </c>
    </row>
    <row r="25" spans="1:12" x14ac:dyDescent="0.55000000000000004">
      <c r="A25" s="14">
        <v>45497</v>
      </c>
      <c r="B25" s="15">
        <v>19996</v>
      </c>
      <c r="C25" s="15">
        <v>5588</v>
      </c>
      <c r="D25" s="15"/>
      <c r="E25" s="15"/>
    </row>
    <row r="26" spans="1:12" x14ac:dyDescent="0.55000000000000004">
      <c r="A26" s="14">
        <v>45498</v>
      </c>
      <c r="B26" s="15">
        <v>14289</v>
      </c>
      <c r="C26" s="15">
        <v>3992</v>
      </c>
      <c r="D26" s="15"/>
      <c r="E26"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128AB-8237-49F1-80E3-F1778B09C02F}">
  <dimension ref="A1:J51"/>
  <sheetViews>
    <sheetView workbookViewId="0">
      <selection activeCell="I8" sqref="I8"/>
    </sheetView>
  </sheetViews>
  <sheetFormatPr defaultRowHeight="14.4" x14ac:dyDescent="0.55000000000000004"/>
  <cols>
    <col min="1" max="1" width="11.1015625" customWidth="1"/>
    <col min="2" max="2" width="11.734375" customWidth="1"/>
    <col min="3" max="3" width="19.7890625" customWidth="1"/>
    <col min="4" max="4" width="11.1015625" customWidth="1"/>
    <col min="5" max="5" width="13.3671875" customWidth="1"/>
    <col min="6" max="6" width="11.62890625" customWidth="1"/>
    <col min="7" max="7" width="13.15625" customWidth="1"/>
    <col min="8" max="8" width="12.9453125" customWidth="1"/>
    <col min="9" max="9" width="15.83984375" customWidth="1"/>
    <col min="10" max="10" width="12.734375" bestFit="1" customWidth="1"/>
  </cols>
  <sheetData>
    <row r="1" spans="1:10" x14ac:dyDescent="0.55000000000000004">
      <c r="A1" t="s">
        <v>0</v>
      </c>
      <c r="B1" t="s">
        <v>1</v>
      </c>
      <c r="C1" t="s">
        <v>2</v>
      </c>
      <c r="D1" t="s">
        <v>3</v>
      </c>
      <c r="E1" t="s">
        <v>4</v>
      </c>
      <c r="F1" t="s">
        <v>5</v>
      </c>
      <c r="G1" t="s">
        <v>6</v>
      </c>
      <c r="H1" t="s">
        <v>7</v>
      </c>
      <c r="I1" t="s">
        <v>8</v>
      </c>
      <c r="J1" t="s">
        <v>9</v>
      </c>
    </row>
    <row r="2" spans="1:10" x14ac:dyDescent="0.55000000000000004">
      <c r="A2" s="1">
        <v>45474</v>
      </c>
      <c r="B2">
        <v>101</v>
      </c>
      <c r="C2" t="s">
        <v>10</v>
      </c>
      <c r="D2" t="s">
        <v>11</v>
      </c>
      <c r="E2">
        <v>12</v>
      </c>
      <c r="F2">
        <v>499</v>
      </c>
      <c r="G2">
        <v>5988</v>
      </c>
      <c r="H2" t="s">
        <v>12</v>
      </c>
      <c r="I2" t="s">
        <v>13</v>
      </c>
      <c r="J2" t="s">
        <v>14</v>
      </c>
    </row>
    <row r="3" spans="1:10" x14ac:dyDescent="0.55000000000000004">
      <c r="A3" s="1">
        <v>45475</v>
      </c>
      <c r="B3">
        <v>102</v>
      </c>
      <c r="C3" t="s">
        <v>15</v>
      </c>
      <c r="D3" t="s">
        <v>16</v>
      </c>
      <c r="E3">
        <v>11</v>
      </c>
      <c r="F3">
        <v>899</v>
      </c>
      <c r="G3">
        <v>9889</v>
      </c>
      <c r="H3" t="s">
        <v>17</v>
      </c>
      <c r="I3" t="s">
        <v>18</v>
      </c>
      <c r="J3" t="s">
        <v>14</v>
      </c>
    </row>
    <row r="4" spans="1:10" x14ac:dyDescent="0.55000000000000004">
      <c r="A4" s="1">
        <v>45475</v>
      </c>
      <c r="B4">
        <v>101</v>
      </c>
      <c r="C4" t="s">
        <v>15</v>
      </c>
      <c r="D4" t="s">
        <v>16</v>
      </c>
      <c r="E4">
        <v>4</v>
      </c>
      <c r="F4">
        <v>899</v>
      </c>
      <c r="G4">
        <v>3596</v>
      </c>
      <c r="H4" t="s">
        <v>19</v>
      </c>
      <c r="I4" t="s">
        <v>20</v>
      </c>
      <c r="J4" t="s">
        <v>14</v>
      </c>
    </row>
    <row r="5" spans="1:10" x14ac:dyDescent="0.55000000000000004">
      <c r="A5" s="1">
        <v>45475</v>
      </c>
      <c r="B5">
        <v>102</v>
      </c>
      <c r="C5" t="s">
        <v>21</v>
      </c>
      <c r="D5" t="s">
        <v>22</v>
      </c>
      <c r="E5">
        <v>4</v>
      </c>
      <c r="F5">
        <v>499</v>
      </c>
      <c r="G5">
        <v>1996</v>
      </c>
      <c r="H5" t="s">
        <v>23</v>
      </c>
      <c r="I5" t="s">
        <v>24</v>
      </c>
      <c r="J5" t="s">
        <v>14</v>
      </c>
    </row>
    <row r="6" spans="1:10" x14ac:dyDescent="0.55000000000000004">
      <c r="A6" s="1">
        <v>45476</v>
      </c>
      <c r="B6">
        <v>102</v>
      </c>
      <c r="C6" t="s">
        <v>21</v>
      </c>
      <c r="D6" t="s">
        <v>22</v>
      </c>
      <c r="E6">
        <v>6</v>
      </c>
      <c r="F6">
        <v>499</v>
      </c>
      <c r="G6">
        <v>2994</v>
      </c>
      <c r="H6" t="s">
        <v>12</v>
      </c>
      <c r="I6" t="s">
        <v>13</v>
      </c>
      <c r="J6" t="s">
        <v>14</v>
      </c>
    </row>
    <row r="7" spans="1:10" x14ac:dyDescent="0.55000000000000004">
      <c r="A7" s="1">
        <v>45476</v>
      </c>
      <c r="B7">
        <v>103</v>
      </c>
      <c r="C7" t="s">
        <v>15</v>
      </c>
      <c r="D7" t="s">
        <v>16</v>
      </c>
      <c r="E7">
        <v>2</v>
      </c>
      <c r="F7">
        <v>899</v>
      </c>
      <c r="G7">
        <v>1798</v>
      </c>
      <c r="H7" t="s">
        <v>23</v>
      </c>
      <c r="I7" t="s">
        <v>20</v>
      </c>
      <c r="J7" t="s">
        <v>14</v>
      </c>
    </row>
    <row r="8" spans="1:10" x14ac:dyDescent="0.55000000000000004">
      <c r="A8" s="1">
        <v>45476</v>
      </c>
      <c r="B8">
        <v>103</v>
      </c>
      <c r="C8" t="s">
        <v>25</v>
      </c>
      <c r="D8" t="s">
        <v>16</v>
      </c>
      <c r="E8">
        <v>13</v>
      </c>
      <c r="F8">
        <v>4999</v>
      </c>
      <c r="G8">
        <v>64987</v>
      </c>
      <c r="H8" t="s">
        <v>17</v>
      </c>
      <c r="I8" t="s">
        <v>18</v>
      </c>
      <c r="J8" t="s">
        <v>26</v>
      </c>
    </row>
    <row r="9" spans="1:10" x14ac:dyDescent="0.55000000000000004">
      <c r="A9" s="1">
        <v>45476</v>
      </c>
      <c r="B9">
        <v>101</v>
      </c>
      <c r="C9" t="s">
        <v>21</v>
      </c>
      <c r="D9" t="s">
        <v>22</v>
      </c>
      <c r="E9">
        <v>2</v>
      </c>
      <c r="F9">
        <v>499</v>
      </c>
      <c r="G9">
        <v>998</v>
      </c>
      <c r="H9" t="s">
        <v>12</v>
      </c>
      <c r="I9" t="s">
        <v>24</v>
      </c>
      <c r="J9" t="s">
        <v>14</v>
      </c>
    </row>
    <row r="10" spans="1:10" x14ac:dyDescent="0.55000000000000004">
      <c r="A10" s="1">
        <v>45477</v>
      </c>
      <c r="B10">
        <v>102</v>
      </c>
      <c r="C10" t="s">
        <v>15</v>
      </c>
      <c r="D10" t="s">
        <v>16</v>
      </c>
      <c r="E10">
        <v>1</v>
      </c>
      <c r="F10">
        <v>899</v>
      </c>
      <c r="G10">
        <v>899</v>
      </c>
      <c r="H10" t="s">
        <v>19</v>
      </c>
      <c r="I10" t="s">
        <v>24</v>
      </c>
      <c r="J10" t="s">
        <v>14</v>
      </c>
    </row>
    <row r="11" spans="1:10" x14ac:dyDescent="0.55000000000000004">
      <c r="A11" s="1">
        <v>45478</v>
      </c>
      <c r="B11">
        <v>102</v>
      </c>
      <c r="C11" t="s">
        <v>15</v>
      </c>
      <c r="D11" t="s">
        <v>16</v>
      </c>
      <c r="E11">
        <v>7</v>
      </c>
      <c r="F11">
        <v>899</v>
      </c>
      <c r="G11">
        <v>6293</v>
      </c>
      <c r="H11" t="s">
        <v>12</v>
      </c>
      <c r="I11" t="s">
        <v>18</v>
      </c>
      <c r="J11" t="s">
        <v>14</v>
      </c>
    </row>
    <row r="12" spans="1:10" x14ac:dyDescent="0.55000000000000004">
      <c r="A12" s="1">
        <v>45479</v>
      </c>
      <c r="B12">
        <v>103</v>
      </c>
      <c r="C12" t="s">
        <v>27</v>
      </c>
      <c r="D12" t="s">
        <v>22</v>
      </c>
      <c r="E12">
        <v>6</v>
      </c>
      <c r="F12">
        <v>1299</v>
      </c>
      <c r="G12">
        <v>7794</v>
      </c>
      <c r="H12" t="s">
        <v>12</v>
      </c>
      <c r="I12" t="s">
        <v>13</v>
      </c>
      <c r="J12" t="s">
        <v>26</v>
      </c>
    </row>
    <row r="13" spans="1:10" x14ac:dyDescent="0.55000000000000004">
      <c r="A13" s="1">
        <v>45480</v>
      </c>
      <c r="B13">
        <v>103</v>
      </c>
      <c r="C13" t="s">
        <v>15</v>
      </c>
      <c r="D13" t="s">
        <v>16</v>
      </c>
      <c r="E13">
        <v>10</v>
      </c>
      <c r="F13">
        <v>899</v>
      </c>
      <c r="G13">
        <v>8990</v>
      </c>
      <c r="H13" t="s">
        <v>19</v>
      </c>
      <c r="I13" t="s">
        <v>13</v>
      </c>
      <c r="J13" t="s">
        <v>14</v>
      </c>
    </row>
    <row r="14" spans="1:10" x14ac:dyDescent="0.55000000000000004">
      <c r="A14" s="1">
        <v>45480</v>
      </c>
      <c r="B14">
        <v>104</v>
      </c>
      <c r="C14" t="s">
        <v>21</v>
      </c>
      <c r="D14" t="s">
        <v>22</v>
      </c>
      <c r="E14">
        <v>5</v>
      </c>
      <c r="F14">
        <v>499</v>
      </c>
      <c r="G14">
        <v>2495</v>
      </c>
      <c r="H14" t="s">
        <v>19</v>
      </c>
      <c r="I14" t="s">
        <v>24</v>
      </c>
      <c r="J14" t="s">
        <v>14</v>
      </c>
    </row>
    <row r="15" spans="1:10" x14ac:dyDescent="0.55000000000000004">
      <c r="A15" s="1">
        <v>45480</v>
      </c>
      <c r="B15">
        <v>101</v>
      </c>
      <c r="C15" t="s">
        <v>28</v>
      </c>
      <c r="D15" t="s">
        <v>22</v>
      </c>
      <c r="E15">
        <v>14</v>
      </c>
      <c r="F15">
        <v>299</v>
      </c>
      <c r="G15">
        <v>4186</v>
      </c>
      <c r="H15" t="s">
        <v>17</v>
      </c>
      <c r="I15" t="s">
        <v>24</v>
      </c>
      <c r="J15" t="s">
        <v>14</v>
      </c>
    </row>
    <row r="16" spans="1:10" x14ac:dyDescent="0.55000000000000004">
      <c r="A16" s="1">
        <v>45480</v>
      </c>
      <c r="B16">
        <v>103</v>
      </c>
      <c r="C16" t="s">
        <v>15</v>
      </c>
      <c r="D16" t="s">
        <v>16</v>
      </c>
      <c r="E16">
        <v>4</v>
      </c>
      <c r="F16">
        <v>899</v>
      </c>
      <c r="G16">
        <v>3596</v>
      </c>
      <c r="H16" t="s">
        <v>12</v>
      </c>
      <c r="I16" t="s">
        <v>13</v>
      </c>
      <c r="J16" t="s">
        <v>14</v>
      </c>
    </row>
    <row r="17" spans="1:10" x14ac:dyDescent="0.55000000000000004">
      <c r="A17" s="1">
        <v>45481</v>
      </c>
      <c r="B17">
        <v>104</v>
      </c>
      <c r="C17" t="s">
        <v>21</v>
      </c>
      <c r="D17" t="s">
        <v>22</v>
      </c>
      <c r="E17">
        <v>15</v>
      </c>
      <c r="F17">
        <v>499</v>
      </c>
      <c r="G17">
        <v>7485</v>
      </c>
      <c r="H17" t="s">
        <v>23</v>
      </c>
      <c r="I17" t="s">
        <v>13</v>
      </c>
      <c r="J17" t="s">
        <v>14</v>
      </c>
    </row>
    <row r="18" spans="1:10" x14ac:dyDescent="0.55000000000000004">
      <c r="A18" s="1">
        <v>45482</v>
      </c>
      <c r="B18">
        <v>102</v>
      </c>
      <c r="C18" t="s">
        <v>28</v>
      </c>
      <c r="D18" t="s">
        <v>22</v>
      </c>
      <c r="E18">
        <v>12</v>
      </c>
      <c r="F18">
        <v>299</v>
      </c>
      <c r="G18">
        <v>3588</v>
      </c>
      <c r="H18" t="s">
        <v>12</v>
      </c>
      <c r="I18" t="s">
        <v>18</v>
      </c>
      <c r="J18" t="s">
        <v>14</v>
      </c>
    </row>
    <row r="19" spans="1:10" x14ac:dyDescent="0.55000000000000004">
      <c r="A19" s="1">
        <v>45482</v>
      </c>
      <c r="B19">
        <v>104</v>
      </c>
      <c r="C19" t="s">
        <v>29</v>
      </c>
      <c r="D19" t="s">
        <v>11</v>
      </c>
      <c r="E19">
        <v>4</v>
      </c>
      <c r="F19">
        <v>1999</v>
      </c>
      <c r="G19">
        <v>7996</v>
      </c>
      <c r="H19" t="s">
        <v>19</v>
      </c>
      <c r="I19" t="s">
        <v>18</v>
      </c>
      <c r="J19" t="s">
        <v>14</v>
      </c>
    </row>
    <row r="20" spans="1:10" x14ac:dyDescent="0.55000000000000004">
      <c r="A20" s="1">
        <v>45482</v>
      </c>
      <c r="B20">
        <v>101</v>
      </c>
      <c r="C20" t="s">
        <v>15</v>
      </c>
      <c r="D20" t="s">
        <v>16</v>
      </c>
      <c r="E20">
        <v>3</v>
      </c>
      <c r="F20">
        <v>899</v>
      </c>
      <c r="G20">
        <v>2697</v>
      </c>
      <c r="H20" t="s">
        <v>19</v>
      </c>
      <c r="I20" t="s">
        <v>18</v>
      </c>
      <c r="J20" t="s">
        <v>14</v>
      </c>
    </row>
    <row r="21" spans="1:10" x14ac:dyDescent="0.55000000000000004">
      <c r="A21" s="1">
        <v>45483</v>
      </c>
      <c r="B21">
        <v>101</v>
      </c>
      <c r="C21" t="s">
        <v>21</v>
      </c>
      <c r="D21" t="s">
        <v>22</v>
      </c>
      <c r="E21">
        <v>7</v>
      </c>
      <c r="F21">
        <v>499</v>
      </c>
      <c r="G21">
        <v>3493</v>
      </c>
      <c r="H21" t="s">
        <v>23</v>
      </c>
      <c r="I21" t="s">
        <v>24</v>
      </c>
      <c r="J21" t="s">
        <v>14</v>
      </c>
    </row>
    <row r="22" spans="1:10" x14ac:dyDescent="0.55000000000000004">
      <c r="A22" s="1">
        <v>45484</v>
      </c>
      <c r="B22">
        <v>101</v>
      </c>
      <c r="C22" t="s">
        <v>15</v>
      </c>
      <c r="D22" t="s">
        <v>16</v>
      </c>
      <c r="E22">
        <v>11</v>
      </c>
      <c r="F22">
        <v>899</v>
      </c>
      <c r="G22">
        <v>9889</v>
      </c>
      <c r="H22" t="s">
        <v>12</v>
      </c>
      <c r="I22" t="s">
        <v>24</v>
      </c>
      <c r="J22" t="s">
        <v>14</v>
      </c>
    </row>
    <row r="23" spans="1:10" x14ac:dyDescent="0.55000000000000004">
      <c r="A23" s="1">
        <v>45484</v>
      </c>
      <c r="B23">
        <v>103</v>
      </c>
      <c r="C23" t="s">
        <v>21</v>
      </c>
      <c r="D23" t="s">
        <v>22</v>
      </c>
      <c r="E23">
        <v>3</v>
      </c>
      <c r="F23">
        <v>499</v>
      </c>
      <c r="G23">
        <v>1497</v>
      </c>
      <c r="H23" t="s">
        <v>23</v>
      </c>
      <c r="I23" t="s">
        <v>20</v>
      </c>
      <c r="J23" t="s">
        <v>26</v>
      </c>
    </row>
    <row r="24" spans="1:10" x14ac:dyDescent="0.55000000000000004">
      <c r="A24" s="1">
        <v>45485</v>
      </c>
      <c r="B24">
        <v>103</v>
      </c>
      <c r="C24" t="s">
        <v>27</v>
      </c>
      <c r="D24" t="s">
        <v>22</v>
      </c>
      <c r="E24">
        <v>9</v>
      </c>
      <c r="F24">
        <v>1299</v>
      </c>
      <c r="G24">
        <v>11691</v>
      </c>
      <c r="H24" t="s">
        <v>17</v>
      </c>
      <c r="I24" t="s">
        <v>24</v>
      </c>
      <c r="J24" t="s">
        <v>14</v>
      </c>
    </row>
    <row r="25" spans="1:10" x14ac:dyDescent="0.55000000000000004">
      <c r="A25" s="1">
        <v>45486</v>
      </c>
      <c r="B25">
        <v>102</v>
      </c>
      <c r="C25" t="s">
        <v>27</v>
      </c>
      <c r="D25" t="s">
        <v>22</v>
      </c>
      <c r="E25">
        <v>6</v>
      </c>
      <c r="F25">
        <v>1299</v>
      </c>
      <c r="G25">
        <v>7794</v>
      </c>
      <c r="H25" t="s">
        <v>19</v>
      </c>
      <c r="I25" t="s">
        <v>20</v>
      </c>
      <c r="J25" t="s">
        <v>14</v>
      </c>
    </row>
    <row r="26" spans="1:10" x14ac:dyDescent="0.55000000000000004">
      <c r="A26" s="1">
        <v>45486</v>
      </c>
      <c r="B26">
        <v>103</v>
      </c>
      <c r="C26" t="s">
        <v>30</v>
      </c>
      <c r="D26" t="s">
        <v>16</v>
      </c>
      <c r="E26">
        <v>1</v>
      </c>
      <c r="F26">
        <v>1499</v>
      </c>
      <c r="G26">
        <v>1499</v>
      </c>
      <c r="H26" t="s">
        <v>17</v>
      </c>
      <c r="I26" t="s">
        <v>24</v>
      </c>
      <c r="J26" t="s">
        <v>14</v>
      </c>
    </row>
    <row r="27" spans="1:10" x14ac:dyDescent="0.55000000000000004">
      <c r="A27" s="1">
        <v>45486</v>
      </c>
      <c r="B27">
        <v>102</v>
      </c>
      <c r="C27" t="s">
        <v>10</v>
      </c>
      <c r="D27" t="s">
        <v>11</v>
      </c>
      <c r="E27">
        <v>4</v>
      </c>
      <c r="F27">
        <v>499</v>
      </c>
      <c r="G27">
        <v>1996</v>
      </c>
      <c r="H27" t="s">
        <v>17</v>
      </c>
      <c r="I27" t="s">
        <v>20</v>
      </c>
      <c r="J27" t="s">
        <v>14</v>
      </c>
    </row>
    <row r="28" spans="1:10" x14ac:dyDescent="0.55000000000000004">
      <c r="A28" s="1">
        <v>45487</v>
      </c>
      <c r="B28">
        <v>104</v>
      </c>
      <c r="C28" t="s">
        <v>15</v>
      </c>
      <c r="D28" t="s">
        <v>16</v>
      </c>
      <c r="E28">
        <v>13</v>
      </c>
      <c r="F28">
        <v>899</v>
      </c>
      <c r="G28">
        <v>11687</v>
      </c>
      <c r="H28" t="s">
        <v>19</v>
      </c>
      <c r="I28" t="s">
        <v>13</v>
      </c>
      <c r="J28" t="s">
        <v>14</v>
      </c>
    </row>
    <row r="29" spans="1:10" x14ac:dyDescent="0.55000000000000004">
      <c r="A29" s="1">
        <v>45487</v>
      </c>
      <c r="B29">
        <v>104</v>
      </c>
      <c r="C29" t="s">
        <v>27</v>
      </c>
      <c r="D29" t="s">
        <v>22</v>
      </c>
      <c r="E29">
        <v>5</v>
      </c>
      <c r="F29">
        <v>1299</v>
      </c>
      <c r="G29">
        <v>6495</v>
      </c>
      <c r="H29" t="s">
        <v>23</v>
      </c>
      <c r="I29" t="s">
        <v>13</v>
      </c>
      <c r="J29" t="s">
        <v>14</v>
      </c>
    </row>
    <row r="30" spans="1:10" x14ac:dyDescent="0.55000000000000004">
      <c r="A30" s="1">
        <v>45490</v>
      </c>
      <c r="B30">
        <v>102</v>
      </c>
      <c r="C30" t="s">
        <v>25</v>
      </c>
      <c r="D30" t="s">
        <v>16</v>
      </c>
      <c r="E30">
        <v>7</v>
      </c>
      <c r="F30">
        <v>4999</v>
      </c>
      <c r="G30">
        <v>34993</v>
      </c>
      <c r="H30" t="s">
        <v>12</v>
      </c>
      <c r="I30" t="s">
        <v>18</v>
      </c>
      <c r="J30" t="s">
        <v>14</v>
      </c>
    </row>
    <row r="31" spans="1:10" x14ac:dyDescent="0.55000000000000004">
      <c r="A31" s="1">
        <v>45491</v>
      </c>
      <c r="B31">
        <v>104</v>
      </c>
      <c r="C31" t="s">
        <v>15</v>
      </c>
      <c r="D31" t="s">
        <v>16</v>
      </c>
      <c r="E31">
        <v>4</v>
      </c>
      <c r="F31">
        <v>899</v>
      </c>
      <c r="G31">
        <v>3596</v>
      </c>
      <c r="H31" t="s">
        <v>19</v>
      </c>
      <c r="I31" t="s">
        <v>20</v>
      </c>
      <c r="J31" t="s">
        <v>26</v>
      </c>
    </row>
    <row r="32" spans="1:10" x14ac:dyDescent="0.55000000000000004">
      <c r="A32" s="1">
        <v>45491</v>
      </c>
      <c r="B32">
        <v>101</v>
      </c>
      <c r="C32" t="s">
        <v>28</v>
      </c>
      <c r="D32" t="s">
        <v>22</v>
      </c>
      <c r="E32">
        <v>10</v>
      </c>
      <c r="F32">
        <v>299</v>
      </c>
      <c r="G32">
        <v>2990</v>
      </c>
      <c r="H32" t="s">
        <v>19</v>
      </c>
      <c r="I32" t="s">
        <v>20</v>
      </c>
      <c r="J32" t="s">
        <v>14</v>
      </c>
    </row>
    <row r="33" spans="1:10" x14ac:dyDescent="0.55000000000000004">
      <c r="A33" s="1">
        <v>45491</v>
      </c>
      <c r="B33">
        <v>101</v>
      </c>
      <c r="C33" t="s">
        <v>28</v>
      </c>
      <c r="D33" t="s">
        <v>22</v>
      </c>
      <c r="E33">
        <v>2</v>
      </c>
      <c r="F33">
        <v>299</v>
      </c>
      <c r="G33">
        <v>598</v>
      </c>
      <c r="H33" t="s">
        <v>17</v>
      </c>
      <c r="I33" t="s">
        <v>24</v>
      </c>
      <c r="J33" t="s">
        <v>14</v>
      </c>
    </row>
    <row r="34" spans="1:10" x14ac:dyDescent="0.55000000000000004">
      <c r="A34" s="1">
        <v>45491</v>
      </c>
      <c r="B34">
        <v>102</v>
      </c>
      <c r="C34" t="s">
        <v>25</v>
      </c>
      <c r="D34" t="s">
        <v>16</v>
      </c>
      <c r="E34">
        <v>11</v>
      </c>
      <c r="F34">
        <v>4999</v>
      </c>
      <c r="G34">
        <v>54989</v>
      </c>
      <c r="H34" t="s">
        <v>23</v>
      </c>
      <c r="I34" t="s">
        <v>13</v>
      </c>
      <c r="J34" t="s">
        <v>26</v>
      </c>
    </row>
    <row r="35" spans="1:10" x14ac:dyDescent="0.55000000000000004">
      <c r="A35" s="1">
        <v>45491</v>
      </c>
      <c r="B35">
        <v>102</v>
      </c>
      <c r="C35" t="s">
        <v>30</v>
      </c>
      <c r="D35" t="s">
        <v>16</v>
      </c>
      <c r="E35">
        <v>4</v>
      </c>
      <c r="F35">
        <v>1499</v>
      </c>
      <c r="G35">
        <v>5996</v>
      </c>
      <c r="H35" t="s">
        <v>23</v>
      </c>
      <c r="I35" t="s">
        <v>18</v>
      </c>
      <c r="J35" t="s">
        <v>14</v>
      </c>
    </row>
    <row r="36" spans="1:10" x14ac:dyDescent="0.55000000000000004">
      <c r="A36" s="1">
        <v>45491</v>
      </c>
      <c r="B36">
        <v>101</v>
      </c>
      <c r="C36" t="s">
        <v>15</v>
      </c>
      <c r="D36" t="s">
        <v>16</v>
      </c>
      <c r="E36">
        <v>11</v>
      </c>
      <c r="F36">
        <v>899</v>
      </c>
      <c r="G36">
        <v>9889</v>
      </c>
      <c r="H36" t="s">
        <v>23</v>
      </c>
      <c r="I36" t="s">
        <v>24</v>
      </c>
      <c r="J36" t="s">
        <v>14</v>
      </c>
    </row>
    <row r="37" spans="1:10" x14ac:dyDescent="0.55000000000000004">
      <c r="A37" s="1">
        <v>45492</v>
      </c>
      <c r="B37">
        <v>104</v>
      </c>
      <c r="C37" t="s">
        <v>30</v>
      </c>
      <c r="D37" t="s">
        <v>16</v>
      </c>
      <c r="E37">
        <v>14</v>
      </c>
      <c r="F37">
        <v>1499</v>
      </c>
      <c r="G37">
        <v>20986</v>
      </c>
      <c r="H37" t="s">
        <v>17</v>
      </c>
      <c r="I37" t="s">
        <v>20</v>
      </c>
      <c r="J37" t="s">
        <v>14</v>
      </c>
    </row>
    <row r="38" spans="1:10" x14ac:dyDescent="0.55000000000000004">
      <c r="A38" s="1">
        <v>45492</v>
      </c>
      <c r="B38">
        <v>104</v>
      </c>
      <c r="C38" t="s">
        <v>29</v>
      </c>
      <c r="D38" t="s">
        <v>11</v>
      </c>
      <c r="E38">
        <v>13</v>
      </c>
      <c r="F38">
        <v>1999</v>
      </c>
      <c r="G38">
        <v>25987</v>
      </c>
      <c r="H38" t="s">
        <v>17</v>
      </c>
      <c r="I38" t="s">
        <v>13</v>
      </c>
      <c r="J38" t="s">
        <v>14</v>
      </c>
    </row>
    <row r="39" spans="1:10" x14ac:dyDescent="0.55000000000000004">
      <c r="A39" s="1">
        <v>45493</v>
      </c>
      <c r="B39">
        <v>102</v>
      </c>
      <c r="C39" t="s">
        <v>30</v>
      </c>
      <c r="D39" t="s">
        <v>16</v>
      </c>
      <c r="E39">
        <v>3</v>
      </c>
      <c r="F39">
        <v>1499</v>
      </c>
      <c r="G39">
        <v>4497</v>
      </c>
      <c r="H39" t="s">
        <v>23</v>
      </c>
      <c r="I39" t="s">
        <v>13</v>
      </c>
      <c r="J39" t="s">
        <v>26</v>
      </c>
    </row>
    <row r="40" spans="1:10" x14ac:dyDescent="0.55000000000000004">
      <c r="A40" s="1">
        <v>45493</v>
      </c>
      <c r="B40">
        <v>104</v>
      </c>
      <c r="C40" t="s">
        <v>28</v>
      </c>
      <c r="D40" t="s">
        <v>22</v>
      </c>
      <c r="E40">
        <v>14</v>
      </c>
      <c r="F40">
        <v>299</v>
      </c>
      <c r="G40">
        <v>4186</v>
      </c>
      <c r="H40" t="s">
        <v>17</v>
      </c>
      <c r="I40" t="s">
        <v>18</v>
      </c>
      <c r="J40" t="s">
        <v>14</v>
      </c>
    </row>
    <row r="41" spans="1:10" x14ac:dyDescent="0.55000000000000004">
      <c r="A41" s="1">
        <v>45494</v>
      </c>
      <c r="B41">
        <v>101</v>
      </c>
      <c r="C41" t="s">
        <v>10</v>
      </c>
      <c r="D41" t="s">
        <v>11</v>
      </c>
      <c r="E41">
        <v>11</v>
      </c>
      <c r="F41">
        <v>499</v>
      </c>
      <c r="G41">
        <v>5489</v>
      </c>
      <c r="H41" t="s">
        <v>17</v>
      </c>
      <c r="I41" t="s">
        <v>20</v>
      </c>
      <c r="J41" t="s">
        <v>14</v>
      </c>
    </row>
    <row r="42" spans="1:10" x14ac:dyDescent="0.55000000000000004">
      <c r="A42" s="1">
        <v>45494</v>
      </c>
      <c r="B42">
        <v>102</v>
      </c>
      <c r="C42" t="s">
        <v>27</v>
      </c>
      <c r="D42" t="s">
        <v>22</v>
      </c>
      <c r="E42">
        <v>7</v>
      </c>
      <c r="F42">
        <v>1299</v>
      </c>
      <c r="G42">
        <v>9093</v>
      </c>
      <c r="H42" t="s">
        <v>23</v>
      </c>
      <c r="I42" t="s">
        <v>18</v>
      </c>
      <c r="J42" t="s">
        <v>26</v>
      </c>
    </row>
    <row r="43" spans="1:10" x14ac:dyDescent="0.55000000000000004">
      <c r="A43" s="1">
        <v>45494</v>
      </c>
      <c r="B43">
        <v>104</v>
      </c>
      <c r="C43" t="s">
        <v>10</v>
      </c>
      <c r="D43" t="s">
        <v>11</v>
      </c>
      <c r="E43">
        <v>3</v>
      </c>
      <c r="F43">
        <v>499</v>
      </c>
      <c r="G43">
        <v>1497</v>
      </c>
      <c r="H43" t="s">
        <v>23</v>
      </c>
      <c r="I43" t="s">
        <v>20</v>
      </c>
      <c r="J43" t="s">
        <v>14</v>
      </c>
    </row>
    <row r="44" spans="1:10" x14ac:dyDescent="0.55000000000000004">
      <c r="A44" s="1">
        <v>45494</v>
      </c>
      <c r="B44">
        <v>103</v>
      </c>
      <c r="C44" t="s">
        <v>30</v>
      </c>
      <c r="D44" t="s">
        <v>16</v>
      </c>
      <c r="E44">
        <v>5</v>
      </c>
      <c r="F44">
        <v>1499</v>
      </c>
      <c r="G44">
        <v>7495</v>
      </c>
      <c r="H44" t="s">
        <v>23</v>
      </c>
      <c r="I44" t="s">
        <v>18</v>
      </c>
      <c r="J44" t="s">
        <v>26</v>
      </c>
    </row>
    <row r="45" spans="1:10" x14ac:dyDescent="0.55000000000000004">
      <c r="A45" s="1">
        <v>45495</v>
      </c>
      <c r="B45">
        <v>102</v>
      </c>
      <c r="C45" t="s">
        <v>25</v>
      </c>
      <c r="D45" t="s">
        <v>16</v>
      </c>
      <c r="E45">
        <v>4</v>
      </c>
      <c r="F45">
        <v>4999</v>
      </c>
      <c r="G45">
        <v>19996</v>
      </c>
      <c r="H45" t="s">
        <v>17</v>
      </c>
      <c r="I45" t="s">
        <v>20</v>
      </c>
      <c r="J45" t="s">
        <v>14</v>
      </c>
    </row>
    <row r="46" spans="1:10" x14ac:dyDescent="0.55000000000000004">
      <c r="A46" s="1">
        <v>45495</v>
      </c>
      <c r="B46">
        <v>103</v>
      </c>
      <c r="C46" t="s">
        <v>10</v>
      </c>
      <c r="D46" t="s">
        <v>11</v>
      </c>
      <c r="E46">
        <v>1</v>
      </c>
      <c r="F46">
        <v>499</v>
      </c>
      <c r="G46">
        <v>499</v>
      </c>
      <c r="H46" t="s">
        <v>23</v>
      </c>
      <c r="I46" t="s">
        <v>13</v>
      </c>
      <c r="J46" t="s">
        <v>14</v>
      </c>
    </row>
    <row r="47" spans="1:10" x14ac:dyDescent="0.55000000000000004">
      <c r="A47" s="1">
        <v>45497</v>
      </c>
      <c r="B47">
        <v>101</v>
      </c>
      <c r="C47" t="s">
        <v>27</v>
      </c>
      <c r="D47" t="s">
        <v>22</v>
      </c>
      <c r="E47">
        <v>2</v>
      </c>
      <c r="F47">
        <v>1299</v>
      </c>
      <c r="G47">
        <v>2598</v>
      </c>
      <c r="H47" t="s">
        <v>17</v>
      </c>
      <c r="I47" t="s">
        <v>13</v>
      </c>
      <c r="J47" t="s">
        <v>14</v>
      </c>
    </row>
    <row r="48" spans="1:10" x14ac:dyDescent="0.55000000000000004">
      <c r="A48" s="1">
        <v>45497</v>
      </c>
      <c r="B48">
        <v>101</v>
      </c>
      <c r="C48" t="s">
        <v>28</v>
      </c>
      <c r="D48" t="s">
        <v>22</v>
      </c>
      <c r="E48">
        <v>10</v>
      </c>
      <c r="F48">
        <v>299</v>
      </c>
      <c r="G48">
        <v>2990</v>
      </c>
      <c r="H48" t="s">
        <v>17</v>
      </c>
      <c r="I48" t="s">
        <v>20</v>
      </c>
      <c r="J48" t="s">
        <v>14</v>
      </c>
    </row>
    <row r="49" spans="1:10" x14ac:dyDescent="0.55000000000000004">
      <c r="A49" s="1">
        <v>45497</v>
      </c>
      <c r="B49">
        <v>103</v>
      </c>
      <c r="C49" t="s">
        <v>25</v>
      </c>
      <c r="D49" t="s">
        <v>16</v>
      </c>
      <c r="E49">
        <v>4</v>
      </c>
      <c r="F49">
        <v>4999</v>
      </c>
      <c r="G49">
        <v>19996</v>
      </c>
      <c r="H49" t="s">
        <v>12</v>
      </c>
      <c r="I49" t="s">
        <v>13</v>
      </c>
      <c r="J49" t="s">
        <v>14</v>
      </c>
    </row>
    <row r="50" spans="1:10" x14ac:dyDescent="0.55000000000000004">
      <c r="A50" s="1">
        <v>45498</v>
      </c>
      <c r="B50">
        <v>104</v>
      </c>
      <c r="C50" t="s">
        <v>27</v>
      </c>
      <c r="D50" t="s">
        <v>22</v>
      </c>
      <c r="E50">
        <v>11</v>
      </c>
      <c r="F50">
        <v>1299</v>
      </c>
      <c r="G50">
        <v>14289</v>
      </c>
      <c r="H50" t="s">
        <v>12</v>
      </c>
      <c r="I50" t="s">
        <v>18</v>
      </c>
      <c r="J50" t="s">
        <v>14</v>
      </c>
    </row>
    <row r="51" spans="1:10" x14ac:dyDescent="0.55000000000000004">
      <c r="A51" s="1">
        <v>45498</v>
      </c>
      <c r="B51">
        <v>101</v>
      </c>
      <c r="C51" t="s">
        <v>10</v>
      </c>
      <c r="D51" t="s">
        <v>11</v>
      </c>
      <c r="E51">
        <v>8</v>
      </c>
      <c r="F51">
        <v>499</v>
      </c>
      <c r="G51">
        <v>3992</v>
      </c>
      <c r="H51" t="s">
        <v>17</v>
      </c>
      <c r="I51" t="s">
        <v>20</v>
      </c>
      <c r="J51" t="s">
        <v>14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5907-4247-4431-9D03-1D8B1B89FD8E}">
  <dimension ref="A1"/>
  <sheetViews>
    <sheetView showGridLines="0" showRowColHeaders="0" tabSelected="1" zoomScale="80" zoomScaleNormal="80" workbookViewId="0">
      <selection activeCell="L39" sqref="L39"/>
      <extLst>
        <ext xmlns:xlsdti="http://schemas.microsoft.com/office/spreadsheetml/2023/showDataTypeIcons" uri="{77bfe23e-c014-4d31-8a63-9c772dbf06b6}">
          <xlsdti:showDataTypeIcons visible="0"/>
        </ext>
      </extLst>
    </sheetView>
  </sheetViews>
  <sheetFormatPr defaultRowHeight="14.4" x14ac:dyDescent="0.55000000000000004"/>
  <sheetData>
    <row r="1" customFormat="1" x14ac:dyDescent="0.5500000000000000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AFC66-6965-4A4D-8012-D78226D20DEB}">
  <dimension ref="A1:K24"/>
  <sheetViews>
    <sheetView workbookViewId="0">
      <selection activeCell="G19" sqref="G19"/>
    </sheetView>
  </sheetViews>
  <sheetFormatPr defaultRowHeight="14.4" x14ac:dyDescent="0.55000000000000004"/>
  <cols>
    <col min="1" max="1" width="12" bestFit="1" customWidth="1"/>
    <col min="2" max="2" width="13.62890625" bestFit="1" customWidth="1"/>
    <col min="3" max="3" width="16.83984375" bestFit="1" customWidth="1"/>
    <col min="7" max="7" width="18.20703125" bestFit="1" customWidth="1"/>
    <col min="9" max="9" width="27.05078125" bestFit="1" customWidth="1"/>
  </cols>
  <sheetData>
    <row r="1" spans="1:11" x14ac:dyDescent="0.55000000000000004">
      <c r="A1" s="7" t="s">
        <v>9</v>
      </c>
      <c r="B1" t="s">
        <v>26</v>
      </c>
    </row>
    <row r="3" spans="1:11" x14ac:dyDescent="0.55000000000000004">
      <c r="A3" t="s">
        <v>34</v>
      </c>
    </row>
    <row r="4" spans="1:11" x14ac:dyDescent="0.55000000000000004">
      <c r="A4" s="15">
        <v>8</v>
      </c>
    </row>
    <row r="6" spans="1:11" ht="14.7" thickBot="1" x14ac:dyDescent="0.6">
      <c r="C6" s="8" t="s">
        <v>33</v>
      </c>
    </row>
    <row r="7" spans="1:11" ht="15.6" x14ac:dyDescent="0.6">
      <c r="C7" s="9">
        <f>(8/56)</f>
        <v>0.14285714285714285</v>
      </c>
      <c r="I7" s="3" t="s">
        <v>31</v>
      </c>
      <c r="K7" s="6" t="s">
        <v>33</v>
      </c>
    </row>
    <row r="8" spans="1:11" x14ac:dyDescent="0.55000000000000004">
      <c r="I8" s="2">
        <f>SUM(Table1[Revenue])</f>
        <v>460947</v>
      </c>
    </row>
    <row r="11" spans="1:11" x14ac:dyDescent="0.55000000000000004">
      <c r="I11" s="4" t="s">
        <v>32</v>
      </c>
    </row>
    <row r="12" spans="1:11" x14ac:dyDescent="0.55000000000000004">
      <c r="D12" s="13"/>
      <c r="I12" s="5">
        <f>SUM(Table1[Revenue])/COUNT(Table1[Revenue])</f>
        <v>9218.94</v>
      </c>
    </row>
    <row r="19" spans="1:7" x14ac:dyDescent="0.55000000000000004">
      <c r="A19" s="7" t="s">
        <v>35</v>
      </c>
      <c r="B19" t="s">
        <v>37</v>
      </c>
      <c r="G19" s="8" t="s">
        <v>38</v>
      </c>
    </row>
    <row r="20" spans="1:7" x14ac:dyDescent="0.55000000000000004">
      <c r="A20" s="10" t="s">
        <v>17</v>
      </c>
      <c r="B20" s="11">
        <v>181070</v>
      </c>
      <c r="D20" t="str">
        <f>A20</f>
        <v>North Zone</v>
      </c>
      <c r="E20">
        <f>B20</f>
        <v>181070</v>
      </c>
      <c r="G20" s="12">
        <f>E20/E24</f>
        <v>0.39282173438594892</v>
      </c>
    </row>
    <row r="21" spans="1:7" x14ac:dyDescent="0.55000000000000004">
      <c r="A21" s="10" t="s">
        <v>23</v>
      </c>
      <c r="B21" s="11">
        <v>116719</v>
      </c>
      <c r="D21" t="str">
        <f t="shared" ref="D21:E24" si="0">A21</f>
        <v>West Zone</v>
      </c>
      <c r="E21">
        <f t="shared" si="0"/>
        <v>116719</v>
      </c>
      <c r="G21" s="8" t="s">
        <v>39</v>
      </c>
    </row>
    <row r="22" spans="1:7" x14ac:dyDescent="0.55000000000000004">
      <c r="A22" s="10" t="s">
        <v>12</v>
      </c>
      <c r="B22" s="11">
        <v>110418</v>
      </c>
      <c r="D22" t="str">
        <f t="shared" si="0"/>
        <v>East Zone</v>
      </c>
      <c r="E22">
        <f t="shared" si="0"/>
        <v>110418</v>
      </c>
      <c r="G22" t="str">
        <f>D20</f>
        <v>North Zone</v>
      </c>
    </row>
    <row r="23" spans="1:7" x14ac:dyDescent="0.55000000000000004">
      <c r="A23" s="10" t="s">
        <v>19</v>
      </c>
      <c r="B23" s="11">
        <v>52740</v>
      </c>
      <c r="D23" t="str">
        <f t="shared" si="0"/>
        <v>South Zone</v>
      </c>
      <c r="E23">
        <f t="shared" si="0"/>
        <v>52740</v>
      </c>
    </row>
    <row r="24" spans="1:7" x14ac:dyDescent="0.55000000000000004">
      <c r="A24" s="10" t="s">
        <v>36</v>
      </c>
      <c r="B24" s="15">
        <v>460947</v>
      </c>
      <c r="D24" t="str">
        <f t="shared" si="0"/>
        <v>Grand Total</v>
      </c>
      <c r="E24">
        <f t="shared" si="0"/>
        <v>460947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RetailX_Sales_Data_Cleaned</vt:lpstr>
      <vt:lpstr>Dashboard</vt:lpstr>
      <vt:lpstr>KPI Calculations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Fouzia Ashfaq</dc:creator>
  <cp:lastModifiedBy>Fouzia Ashfaq</cp:lastModifiedBy>
  <dcterms:created xsi:type="dcterms:W3CDTF">2025-08-30T13:54:48Z</dcterms:created>
  <dcterms:modified xsi:type="dcterms:W3CDTF">2025-08-31T02:50:55Z</dcterms:modified>
</cp:coreProperties>
</file>